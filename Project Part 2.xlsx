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Eian\Downloads\"/>
    </mc:Choice>
  </mc:AlternateContent>
  <xr:revisionPtr revIDLastSave="0" documentId="8_{FC3AD7DE-471F-41D9-9FEE-57D18C3AB362}" xr6:coauthVersionLast="47" xr6:coauthVersionMax="47" xr10:uidLastSave="{00000000-0000-0000-0000-000000000000}"/>
  <bookViews>
    <workbookView xWindow="-108" yWindow="-108" windowWidth="23256" windowHeight="12456" activeTab="12" xr2:uid="{2AEF46C9-B234-4134-BF6B-24C035D30AFA}"/>
  </bookViews>
  <sheets>
    <sheet name="1(a)" sheetId="1" r:id="rId1"/>
    <sheet name="1(b)" sheetId="2" r:id="rId2"/>
    <sheet name="1(c)" sheetId="13" r:id="rId3"/>
    <sheet name="1(d)" sheetId="12" r:id="rId4"/>
    <sheet name="1(e)" sheetId="4" r:id="rId5"/>
    <sheet name="2(a)" sheetId="14" r:id="rId6"/>
    <sheet name="2(b)" sheetId="15" r:id="rId7"/>
    <sheet name="2(c)" sheetId="16" r:id="rId8"/>
    <sheet name="2(d)" sheetId="17" r:id="rId9"/>
    <sheet name="3(a)" sheetId="18" r:id="rId10"/>
    <sheet name="3(b)" sheetId="20" r:id="rId11"/>
    <sheet name="3(c)" sheetId="19" r:id="rId12"/>
    <sheet name="4" sheetId="21" r:id="rId13"/>
  </sheets>
  <definedNames>
    <definedName name="_xlnm._FilterDatabase" localSheetId="0" hidden="1">'1(a)'!$A$3:$G$3</definedName>
    <definedName name="_xlnm._FilterDatabase" localSheetId="4" hidden="1">'1(e)'!$E$12:$K$88</definedName>
  </definedNames>
  <calcPr calcId="191029"/>
  <pivotCaches>
    <pivotCache cacheId="16" r:id="rId14"/>
    <pivotCache cacheId="17" r:id="rId15"/>
    <pivotCache cacheId="18" r:id="rId16"/>
    <pivotCache cacheId="1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20" l="1"/>
  <c r="G32" i="20"/>
  <c r="G31" i="20"/>
  <c r="G30" i="20"/>
  <c r="G29" i="20"/>
  <c r="G43" i="20" s="1"/>
  <c r="I43" i="20" s="1"/>
  <c r="G22" i="20"/>
  <c r="I22" i="20" s="1"/>
  <c r="O19" i="20"/>
  <c r="O25" i="20" s="1"/>
  <c r="Q25" i="20" s="1"/>
  <c r="G16" i="20"/>
  <c r="O14" i="20"/>
  <c r="O13" i="20"/>
  <c r="O12" i="20"/>
  <c r="O11" i="20"/>
  <c r="G11" i="20"/>
  <c r="G10" i="20"/>
  <c r="G9" i="20"/>
  <c r="G8" i="20"/>
  <c r="E25" i="19"/>
  <c r="E24" i="19"/>
  <c r="E23" i="19"/>
  <c r="P21" i="19"/>
  <c r="K21" i="19"/>
  <c r="F21" i="19"/>
  <c r="R15" i="19"/>
  <c r="M15" i="19"/>
  <c r="H15" i="19"/>
  <c r="R10" i="19"/>
  <c r="M10" i="19"/>
  <c r="H10" i="19"/>
  <c r="R9" i="19"/>
  <c r="M9" i="19"/>
  <c r="H9" i="19"/>
  <c r="R8" i="19"/>
  <c r="M8" i="19"/>
  <c r="M21" i="19" s="1"/>
  <c r="H8" i="19"/>
  <c r="H21" i="19" s="1"/>
  <c r="R7" i="19"/>
  <c r="R21" i="19" s="1"/>
  <c r="M7" i="19"/>
  <c r="H7" i="19"/>
  <c r="G12" i="18"/>
  <c r="H12" i="18" s="1"/>
  <c r="G11" i="18"/>
  <c r="H11" i="18" s="1"/>
  <c r="G10" i="18"/>
  <c r="H10" i="18" s="1"/>
  <c r="E27" i="19" l="1"/>
  <c r="E26" i="19"/>
  <c r="L23" i="17"/>
  <c r="M23" i="17" s="1"/>
  <c r="N23" i="17" s="1"/>
  <c r="O23" i="17" s="1"/>
  <c r="L22" i="17"/>
  <c r="M22" i="17" s="1"/>
  <c r="N22" i="17" s="1"/>
  <c r="O22" i="17" s="1"/>
  <c r="L21" i="17"/>
  <c r="M21" i="17" s="1"/>
  <c r="N21" i="17" s="1"/>
  <c r="O21" i="17" s="1"/>
  <c r="L20" i="17"/>
  <c r="M20" i="17" s="1"/>
  <c r="N20" i="17" s="1"/>
  <c r="O20" i="17" s="1"/>
  <c r="L19" i="17"/>
  <c r="M19" i="17" s="1"/>
  <c r="N19" i="17" s="1"/>
  <c r="O19" i="17" s="1"/>
  <c r="L18" i="17"/>
  <c r="M18" i="17" s="1"/>
  <c r="N18" i="17" s="1"/>
  <c r="O18" i="17" s="1"/>
  <c r="M19" i="16"/>
  <c r="L19" i="16"/>
  <c r="L18" i="16"/>
  <c r="M18" i="16" s="1"/>
  <c r="L17" i="16"/>
  <c r="M17" i="16" s="1"/>
  <c r="L16" i="16"/>
  <c r="M16" i="16" s="1"/>
  <c r="M15" i="16"/>
  <c r="L15" i="16"/>
  <c r="L14" i="16"/>
  <c r="M14" i="16" s="1"/>
  <c r="K13" i="15"/>
  <c r="K14" i="15"/>
  <c r="K15" i="15"/>
  <c r="K16" i="15"/>
  <c r="K17" i="15"/>
  <c r="K12" i="15"/>
  <c r="J17" i="15"/>
  <c r="J16" i="15"/>
  <c r="J15" i="15"/>
  <c r="J14" i="15"/>
  <c r="J13" i="15"/>
  <c r="J12" i="15"/>
  <c r="I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<sst xmlns="http://schemas.openxmlformats.org/spreadsheetml/2006/main" count="1125" uniqueCount="102">
  <si>
    <t>Sales report of XYZ company</t>
  </si>
  <si>
    <t>Date</t>
  </si>
  <si>
    <t>Region</t>
  </si>
  <si>
    <t>Sales Rep</t>
  </si>
  <si>
    <t>Product</t>
  </si>
  <si>
    <t>Quantity</t>
  </si>
  <si>
    <t>Unit Price (BDT)</t>
  </si>
  <si>
    <t>Total Sales (BDT)</t>
  </si>
  <si>
    <t>Barishal</t>
  </si>
  <si>
    <t>Arif Hossain</t>
  </si>
  <si>
    <t>Laptop</t>
  </si>
  <si>
    <t>Chittagong</t>
  </si>
  <si>
    <t>Oishi Das</t>
  </si>
  <si>
    <t>Desktop</t>
  </si>
  <si>
    <t>Khulna</t>
  </si>
  <si>
    <t>Parvez Hasan</t>
  </si>
  <si>
    <t>Tablet</t>
  </si>
  <si>
    <t>Rajshahi</t>
  </si>
  <si>
    <t>Nabila Sultana</t>
  </si>
  <si>
    <t>Smartphone</t>
  </si>
  <si>
    <t>Sylhet</t>
  </si>
  <si>
    <t>Eva Karim</t>
  </si>
  <si>
    <t>Dhaka</t>
  </si>
  <si>
    <t>Farhan Islam</t>
  </si>
  <si>
    <t>Total Sales of three month</t>
  </si>
  <si>
    <t>Row Labels</t>
  </si>
  <si>
    <t>(blank)</t>
  </si>
  <si>
    <t>Grand Total</t>
  </si>
  <si>
    <t>Sum of Total Sales (BDT)</t>
  </si>
  <si>
    <t>Total number of Smartphone</t>
  </si>
  <si>
    <t>a)</t>
  </si>
  <si>
    <t>Statistics of sales representation</t>
  </si>
  <si>
    <t>january</t>
  </si>
  <si>
    <t>ID</t>
  </si>
  <si>
    <t>Name</t>
  </si>
  <si>
    <t>Salary</t>
  </si>
  <si>
    <t>sales</t>
  </si>
  <si>
    <t>Bonus</t>
  </si>
  <si>
    <t>Total</t>
  </si>
  <si>
    <t>Arif hossain</t>
  </si>
  <si>
    <t>Parvez Hosan</t>
  </si>
  <si>
    <t>Eva karim</t>
  </si>
  <si>
    <t>Jan</t>
  </si>
  <si>
    <t>Feb</t>
  </si>
  <si>
    <t>B)</t>
  </si>
  <si>
    <t>Sales(in january)</t>
  </si>
  <si>
    <t>Mar</t>
  </si>
  <si>
    <t>C)</t>
  </si>
  <si>
    <t>jan-march</t>
  </si>
  <si>
    <t>Sales(in jan-march)</t>
  </si>
  <si>
    <t>d)</t>
  </si>
  <si>
    <t>Average salary</t>
  </si>
  <si>
    <t>Round</t>
  </si>
  <si>
    <t>Samrtphone</t>
  </si>
  <si>
    <t>Office Rent</t>
  </si>
  <si>
    <t>Rent Expenses</t>
  </si>
  <si>
    <t>Advertisement</t>
  </si>
  <si>
    <t>Marketing Expense</t>
  </si>
  <si>
    <t>Warehose rent</t>
  </si>
  <si>
    <t>Internet</t>
  </si>
  <si>
    <t>Office Expenses</t>
  </si>
  <si>
    <t>Staff salary</t>
  </si>
  <si>
    <t>Operation Expenses</t>
  </si>
  <si>
    <t>Administration</t>
  </si>
  <si>
    <t>Computer Skill</t>
  </si>
  <si>
    <t>Office  Expenses</t>
  </si>
  <si>
    <t>Voucher</t>
  </si>
  <si>
    <t>Marketing Expenses</t>
  </si>
  <si>
    <t>Printing materials</t>
  </si>
  <si>
    <t>Additional cost</t>
  </si>
  <si>
    <t>Product Quantity</t>
  </si>
  <si>
    <t xml:space="preserve"> </t>
  </si>
  <si>
    <t>January</t>
  </si>
  <si>
    <t>February</t>
  </si>
  <si>
    <t>March</t>
  </si>
  <si>
    <t>Total Quantity</t>
  </si>
  <si>
    <t>Lowest Quantity</t>
  </si>
  <si>
    <t>Expense report of XYZ Company</t>
  </si>
  <si>
    <t>Item</t>
  </si>
  <si>
    <t>Category</t>
  </si>
  <si>
    <t xml:space="preserve">Quantity </t>
  </si>
  <si>
    <t>Unit Price</t>
  </si>
  <si>
    <t>Project 3</t>
  </si>
  <si>
    <t>A)</t>
  </si>
  <si>
    <t>Month</t>
  </si>
  <si>
    <t>Expenses</t>
  </si>
  <si>
    <t>Sales</t>
  </si>
  <si>
    <t>Retail Profit</t>
  </si>
  <si>
    <t>Profit/loss</t>
  </si>
  <si>
    <t>profit/loss</t>
  </si>
  <si>
    <t>4)</t>
  </si>
  <si>
    <t>Yearly report</t>
  </si>
  <si>
    <t>Profit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</si>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</sst>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3" borderId="0" xfId="0" applyFont="1" applyFill="1" applyAlignment="1">
      <alignment wrapText="1"/>
    </xf>
    <xf numFmtId="0" fontId="0" fillId="3" borderId="0" xfId="0" applyFill="1"/>
    <xf numFmtId="0" fontId="0" fillId="0" borderId="2" xfId="0" applyBorder="1"/>
    <xf numFmtId="0" fontId="0" fillId="0" borderId="0" xfId="0" applyAlignment="1">
      <alignment horizontal="left" indent="1"/>
    </xf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1" fillId="0" borderId="2" xfId="0" applyFont="1" applyBorder="1"/>
    <xf numFmtId="0" fontId="1" fillId="0" borderId="6" xfId="0" applyFont="1" applyBorder="1"/>
    <xf numFmtId="0" fontId="1" fillId="0" borderId="2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Part 2(1) (2).xlsx]1(c)!PivotTable9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'1(c)'!$B$3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6E-4D45-A03B-D6FE5A693E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6E-4D45-A03B-D6FE5A693E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6E-4D45-A03B-D6FE5A693E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F6E-4D45-A03B-D6FE5A693E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6E-4D45-A03B-D6FE5A693E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F6E-4D45-A03B-D6FE5A693E31}"/>
              </c:ext>
            </c:extLst>
          </c:dPt>
          <c:cat>
            <c:strRef>
              <c:f>'1(c)'!$A$4:$A$10</c:f>
              <c:strCache>
                <c:ptCount val="6"/>
                <c:pt idx="0">
                  <c:v>Barishal</c:v>
                </c:pt>
                <c:pt idx="1">
                  <c:v>Chittagong</c:v>
                </c:pt>
                <c:pt idx="2">
                  <c:v>Dhaka</c:v>
                </c:pt>
                <c:pt idx="3">
                  <c:v>Khulna</c:v>
                </c:pt>
                <c:pt idx="4">
                  <c:v>Rajshahi</c:v>
                </c:pt>
                <c:pt idx="5">
                  <c:v>Sylhet</c:v>
                </c:pt>
              </c:strCache>
            </c:strRef>
          </c:cat>
          <c:val>
            <c:numRef>
              <c:f>'1(c)'!$B$4:$B$10</c:f>
              <c:numCache>
                <c:formatCode>General</c:formatCode>
                <c:ptCount val="6"/>
                <c:pt idx="0">
                  <c:v>5010000</c:v>
                </c:pt>
                <c:pt idx="1">
                  <c:v>4340000</c:v>
                </c:pt>
                <c:pt idx="2">
                  <c:v>5850000</c:v>
                </c:pt>
                <c:pt idx="3">
                  <c:v>4110000</c:v>
                </c:pt>
                <c:pt idx="4">
                  <c:v>4760000</c:v>
                </c:pt>
                <c:pt idx="5">
                  <c:v>4600000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4-43DE-9972-2BE73F930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Part 2(1) (2).xlsx]1(d)!PivotTable8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'1(d)'!$B$3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'1(d)'!$A$4:$A$9</c:f>
              <c:strCache>
                <c:ptCount val="5"/>
                <c:pt idx="0">
                  <c:v>Desktop</c:v>
                </c:pt>
                <c:pt idx="1">
                  <c:v>Laptop</c:v>
                </c:pt>
                <c:pt idx="2">
                  <c:v>Smartphone</c:v>
                </c:pt>
                <c:pt idx="3">
                  <c:v>Tablet</c:v>
                </c:pt>
                <c:pt idx="4">
                  <c:v>(blank)</c:v>
                </c:pt>
              </c:strCache>
            </c:strRef>
          </c:cat>
          <c:val>
            <c:numRef>
              <c:f>'1(d)'!$B$4:$B$9</c:f>
              <c:numCache>
                <c:formatCode>General</c:formatCode>
                <c:ptCount val="5"/>
                <c:pt idx="0">
                  <c:v>6950000</c:v>
                </c:pt>
                <c:pt idx="1">
                  <c:v>12250000</c:v>
                </c:pt>
                <c:pt idx="2">
                  <c:v>6150000</c:v>
                </c:pt>
                <c:pt idx="3">
                  <c:v>3320000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3-403B-B718-FBA564E9A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1091375"/>
        <c:axId val="2057882047"/>
      </c:barChart>
      <c:catAx>
        <c:axId val="82109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882047"/>
        <c:crosses val="autoZero"/>
        <c:auto val="1"/>
        <c:lblAlgn val="ctr"/>
        <c:lblOffset val="100"/>
        <c:noMultiLvlLbl val="0"/>
      </c:catAx>
      <c:valAx>
        <c:axId val="205788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09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'2(c)'!$J$11:$J$13</c:f>
              <c:strCache>
                <c:ptCount val="3"/>
                <c:pt idx="0">
                  <c:v>Statistics of sales representation</c:v>
                </c:pt>
                <c:pt idx="1">
                  <c:v>jan-march</c:v>
                </c:pt>
                <c:pt idx="2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'2(c)'!$H$14:$I$19</c:f>
              <c:multiLvlStrCache>
                <c:ptCount val="6"/>
                <c:lvl>
                  <c:pt idx="0">
                    <c:v>Parvez Hosan</c:v>
                  </c:pt>
                  <c:pt idx="1">
                    <c:v>Arif hossain</c:v>
                  </c:pt>
                  <c:pt idx="2">
                    <c:v>Nabila Sultana</c:v>
                  </c:pt>
                  <c:pt idx="3">
                    <c:v>Eva karim</c:v>
                  </c:pt>
                  <c:pt idx="4">
                    <c:v>Oishi Das</c:v>
                  </c:pt>
                  <c:pt idx="5">
                    <c:v>Farhan Islam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</c:lvl>
              </c:multiLvlStrCache>
            </c:multiLvlStrRef>
          </c:cat>
          <c:val>
            <c:numRef>
              <c:f>'2(c)'!$J$14:$J$19</c:f>
              <c:numCache>
                <c:formatCode>General</c:formatCode>
                <c:ptCount val="6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B-42F3-91B4-03933223D3D0}"/>
            </c:ext>
          </c:extLst>
        </c:ser>
        <c:ser>
          <c:idx val="1"/>
          <c:order val="1"/>
          <c:tx>
            <c:strRef>
              <c:f>'2(c)'!$K$11:$K$13</c:f>
              <c:strCache>
                <c:ptCount val="3"/>
                <c:pt idx="0">
                  <c:v>Statistics of sales representation</c:v>
                </c:pt>
                <c:pt idx="1">
                  <c:v>jan-march</c:v>
                </c:pt>
                <c:pt idx="2">
                  <c:v>Sales(in jan-march)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'2(c)'!$H$14:$I$19</c:f>
              <c:multiLvlStrCache>
                <c:ptCount val="6"/>
                <c:lvl>
                  <c:pt idx="0">
                    <c:v>Parvez Hosan</c:v>
                  </c:pt>
                  <c:pt idx="1">
                    <c:v>Arif hossain</c:v>
                  </c:pt>
                  <c:pt idx="2">
                    <c:v>Nabila Sultana</c:v>
                  </c:pt>
                  <c:pt idx="3">
                    <c:v>Eva karim</c:v>
                  </c:pt>
                  <c:pt idx="4">
                    <c:v>Oishi Das</c:v>
                  </c:pt>
                  <c:pt idx="5">
                    <c:v>Farhan Islam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</c:lvl>
              </c:multiLvlStrCache>
            </c:multiLvlStrRef>
          </c:cat>
          <c:val>
            <c:numRef>
              <c:f>'2(c)'!$K$14:$K$19</c:f>
              <c:numCache>
                <c:formatCode>General</c:formatCode>
                <c:ptCount val="6"/>
                <c:pt idx="0">
                  <c:v>4710000</c:v>
                </c:pt>
                <c:pt idx="1">
                  <c:v>5130000</c:v>
                </c:pt>
                <c:pt idx="2">
                  <c:v>6930000</c:v>
                </c:pt>
                <c:pt idx="3">
                  <c:v>4190000</c:v>
                </c:pt>
                <c:pt idx="4">
                  <c:v>2390000</c:v>
                </c:pt>
                <c:pt idx="5">
                  <c:v>5320000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B-42F3-91B4-03933223D3D0}"/>
            </c:ext>
          </c:extLst>
        </c:ser>
        <c:ser>
          <c:idx val="2"/>
          <c:order val="2"/>
          <c:tx>
            <c:strRef>
              <c:f>'2(c)'!$L$11:$L$13</c:f>
              <c:strCache>
                <c:ptCount val="3"/>
                <c:pt idx="0">
                  <c:v>Statistics of sales representation</c:v>
                </c:pt>
                <c:pt idx="1">
                  <c:v>jan-march</c:v>
                </c:pt>
                <c:pt idx="2">
                  <c:v>Bonus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'2(c)'!$H$14:$I$19</c:f>
              <c:multiLvlStrCache>
                <c:ptCount val="6"/>
                <c:lvl>
                  <c:pt idx="0">
                    <c:v>Parvez Hosan</c:v>
                  </c:pt>
                  <c:pt idx="1">
                    <c:v>Arif hossain</c:v>
                  </c:pt>
                  <c:pt idx="2">
                    <c:v>Nabila Sultana</c:v>
                  </c:pt>
                  <c:pt idx="3">
                    <c:v>Eva karim</c:v>
                  </c:pt>
                  <c:pt idx="4">
                    <c:v>Oishi Das</c:v>
                  </c:pt>
                  <c:pt idx="5">
                    <c:v>Farhan Islam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</c:lvl>
              </c:multiLvlStrCache>
            </c:multiLvlStrRef>
          </c:cat>
          <c:val>
            <c:numRef>
              <c:f>'2(c)'!$L$14:$L$19</c:f>
              <c:numCache>
                <c:formatCode>General</c:formatCode>
                <c:ptCount val="6"/>
                <c:pt idx="0">
                  <c:v>471000</c:v>
                </c:pt>
                <c:pt idx="1">
                  <c:v>513000</c:v>
                </c:pt>
                <c:pt idx="2">
                  <c:v>693000</c:v>
                </c:pt>
                <c:pt idx="3">
                  <c:v>419000</c:v>
                </c:pt>
                <c:pt idx="4">
                  <c:v>239000</c:v>
                </c:pt>
                <c:pt idx="5">
                  <c:v>532000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BB-42F3-91B4-03933223D3D0}"/>
            </c:ext>
          </c:extLst>
        </c:ser>
        <c:ser>
          <c:idx val="3"/>
          <c:order val="3"/>
          <c:tx>
            <c:strRef>
              <c:f>'2(c)'!$M$11:$M$13</c:f>
              <c:strCache>
                <c:ptCount val="3"/>
                <c:pt idx="0">
                  <c:v>Statistics of sales representation</c:v>
                </c:pt>
                <c:pt idx="1">
                  <c:v>jan-march</c:v>
                </c:pt>
                <c:pt idx="2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'2(c)'!$H$14:$I$19</c:f>
              <c:multiLvlStrCache>
                <c:ptCount val="6"/>
                <c:lvl>
                  <c:pt idx="0">
                    <c:v>Parvez Hosan</c:v>
                  </c:pt>
                  <c:pt idx="1">
                    <c:v>Arif hossain</c:v>
                  </c:pt>
                  <c:pt idx="2">
                    <c:v>Nabila Sultana</c:v>
                  </c:pt>
                  <c:pt idx="3">
                    <c:v>Eva karim</c:v>
                  </c:pt>
                  <c:pt idx="4">
                    <c:v>Oishi Das</c:v>
                  </c:pt>
                  <c:pt idx="5">
                    <c:v>Farhan Islam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</c:lvl>
              </c:multiLvlStrCache>
            </c:multiLvlStrRef>
          </c:cat>
          <c:val>
            <c:numRef>
              <c:f>'2(c)'!$M$14:$M$19</c:f>
              <c:numCache>
                <c:formatCode>General</c:formatCode>
                <c:ptCount val="6"/>
                <c:pt idx="0">
                  <c:v>501000</c:v>
                </c:pt>
                <c:pt idx="1">
                  <c:v>543000</c:v>
                </c:pt>
                <c:pt idx="2">
                  <c:v>723000</c:v>
                </c:pt>
                <c:pt idx="3">
                  <c:v>449000</c:v>
                </c:pt>
                <c:pt idx="4">
                  <c:v>269000</c:v>
                </c:pt>
                <c:pt idx="5">
                  <c:v>562000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BB-42F3-91B4-03933223D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1728464"/>
        <c:axId val="231718864"/>
      </c:barChart>
      <c:catAx>
        <c:axId val="231728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718864"/>
        <c:crosses val="autoZero"/>
        <c:auto val="1"/>
        <c:lblAlgn val="ctr"/>
        <c:lblOffset val="100"/>
        <c:noMultiLvlLbl val="0"/>
      </c:catAx>
      <c:valAx>
        <c:axId val="23171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72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'4'!$C$3:$C$4</c:f>
              <c:strCache>
                <c:ptCount val="2"/>
                <c:pt idx="0">
                  <c:v>Yearly report</c:v>
                </c:pt>
                <c:pt idx="1">
                  <c:v>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'4'!$C$5:$C$16</c:f>
              <c:numCache>
                <c:formatCode>General</c:formatCode>
                <c:ptCount val="12"/>
                <c:pt idx="0">
                  <c:v>9288500</c:v>
                </c:pt>
                <c:pt idx="1">
                  <c:v>9744300</c:v>
                </c:pt>
                <c:pt idx="2">
                  <c:v>8904700</c:v>
                </c:pt>
                <c:pt idx="3">
                  <c:v>7345200</c:v>
                </c:pt>
                <c:pt idx="4">
                  <c:v>8987000</c:v>
                </c:pt>
                <c:pt idx="5">
                  <c:v>5215400</c:v>
                </c:pt>
                <c:pt idx="6">
                  <c:v>9976500</c:v>
                </c:pt>
                <c:pt idx="7">
                  <c:v>7976700</c:v>
                </c:pt>
                <c:pt idx="8">
                  <c:v>9879000</c:v>
                </c:pt>
                <c:pt idx="9">
                  <c:v>6234800</c:v>
                </c:pt>
                <c:pt idx="10">
                  <c:v>4534800</c:v>
                </c:pt>
                <c:pt idx="11">
                  <c:v>8348700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2-413B-9C39-80CCDD4DA068}"/>
            </c:ext>
          </c:extLst>
        </c:ser>
        <c:ser>
          <c:idx val="1"/>
          <c:order val="1"/>
          <c:tx>
            <c:strRef>
              <c:f>'4'!$D$3:$D$4</c:f>
              <c:strCache>
                <c:ptCount val="2"/>
                <c:pt idx="0">
                  <c:v>Yearly report</c:v>
                </c:pt>
                <c:pt idx="1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'4'!$D$5:$D$16</c:f>
              <c:numCache>
                <c:formatCode>General</c:formatCode>
                <c:ptCount val="12"/>
                <c:pt idx="0">
                  <c:v>8750000</c:v>
                </c:pt>
                <c:pt idx="1">
                  <c:v>9920000</c:v>
                </c:pt>
                <c:pt idx="2">
                  <c:v>10000000</c:v>
                </c:pt>
                <c:pt idx="3">
                  <c:v>7957400</c:v>
                </c:pt>
                <c:pt idx="4">
                  <c:v>9876500</c:v>
                </c:pt>
                <c:pt idx="5">
                  <c:v>5164500</c:v>
                </c:pt>
                <c:pt idx="6">
                  <c:v>11543600</c:v>
                </c:pt>
                <c:pt idx="7">
                  <c:v>8087900</c:v>
                </c:pt>
                <c:pt idx="8">
                  <c:v>9969800</c:v>
                </c:pt>
                <c:pt idx="9">
                  <c:v>7024000</c:v>
                </c:pt>
                <c:pt idx="10">
                  <c:v>4809300</c:v>
                </c:pt>
                <c:pt idx="11">
                  <c:v>8834800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2-413B-9C39-80CCDD4DA068}"/>
            </c:ext>
          </c:extLst>
        </c:ser>
        <c:ser>
          <c:idx val="2"/>
          <c:order val="2"/>
          <c:tx>
            <c:strRef>
              <c:f>'4'!$E$3:$E$4</c:f>
              <c:strCache>
                <c:ptCount val="2"/>
                <c:pt idx="0">
                  <c:v>Yearly report</c:v>
                </c:pt>
                <c:pt idx="1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'4'!$E$5:$E$16</c:f>
              <c:numCache>
                <c:formatCode>General</c:formatCode>
                <c:ptCount val="12"/>
                <c:pt idx="0">
                  <c:v>-538500</c:v>
                </c:pt>
                <c:pt idx="1">
                  <c:v>175700</c:v>
                </c:pt>
                <c:pt idx="2">
                  <c:v>1095300</c:v>
                </c:pt>
                <c:pt idx="3">
                  <c:v>612200</c:v>
                </c:pt>
                <c:pt idx="4">
                  <c:v>889500</c:v>
                </c:pt>
                <c:pt idx="5">
                  <c:v>-50900</c:v>
                </c:pt>
                <c:pt idx="6">
                  <c:v>1567100</c:v>
                </c:pt>
                <c:pt idx="7">
                  <c:v>111200</c:v>
                </c:pt>
                <c:pt idx="8">
                  <c:v>90800</c:v>
                </c:pt>
                <c:pt idx="9">
                  <c:v>789200</c:v>
                </c:pt>
                <c:pt idx="10">
                  <c:v>274500</c:v>
                </c:pt>
                <c:pt idx="11">
                  <c:v>486100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22-413B-9C39-80CCDD4DA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436192"/>
        <c:axId val="299436672"/>
      </c:barChart>
      <c:catAx>
        <c:axId val="29943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436672"/>
        <c:crosses val="autoZero"/>
        <c:auto val="1"/>
        <c:lblAlgn val="ctr"/>
        <c:lblOffset val="100"/>
        <c:noMultiLvlLbl val="0"/>
      </c:catAx>
      <c:valAx>
        <c:axId val="29943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43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'4'!$C$3:$C$4</c:f>
              <c:strCache>
                <c:ptCount val="2"/>
                <c:pt idx="0">
                  <c:v>Yearly report</c:v>
                </c:pt>
                <c:pt idx="1">
                  <c:v>Expenses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14-4404-81AA-F4F2F219F2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14-4404-81AA-F4F2F219F2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14-4404-81AA-F4F2F219F2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14-4404-81AA-F4F2F219F2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14-4404-81AA-F4F2F219F2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214-4404-81AA-F4F2F219F2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214-4404-81AA-F4F2F219F2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214-4404-81AA-F4F2F219F2A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214-4404-81AA-F4F2F219F2A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214-4404-81AA-F4F2F219F2A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214-4404-81AA-F4F2F219F2A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214-4404-81AA-F4F2F219F2A6}"/>
              </c:ext>
            </c:extLst>
          </c:dPt>
          <c:cat>
            <c:strRef>
              <c:f>'4'!$B$5:$B$16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'4'!$C$5:$C$16</c:f>
              <c:numCache>
                <c:formatCode>General</c:formatCode>
                <c:ptCount val="12"/>
                <c:pt idx="0">
                  <c:v>9288500</c:v>
                </c:pt>
                <c:pt idx="1">
                  <c:v>9744300</c:v>
                </c:pt>
                <c:pt idx="2">
                  <c:v>8904700</c:v>
                </c:pt>
                <c:pt idx="3">
                  <c:v>7345200</c:v>
                </c:pt>
                <c:pt idx="4">
                  <c:v>8987000</c:v>
                </c:pt>
                <c:pt idx="5">
                  <c:v>5215400</c:v>
                </c:pt>
                <c:pt idx="6">
                  <c:v>9976500</c:v>
                </c:pt>
                <c:pt idx="7">
                  <c:v>7976700</c:v>
                </c:pt>
                <c:pt idx="8">
                  <c:v>9879000</c:v>
                </c:pt>
                <c:pt idx="9">
                  <c:v>6234800</c:v>
                </c:pt>
                <c:pt idx="10">
                  <c:v>4534800</c:v>
                </c:pt>
                <c:pt idx="11">
                  <c:v>8348700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2-4CA6-9347-8AD43668129B}"/>
            </c:ext>
          </c:extLst>
        </c:ser>
        <c:ser>
          <c:idx val="1"/>
          <c:order val="1"/>
          <c:tx>
            <c:strRef>
              <c:f>'4'!$D$3:$D$4</c:f>
              <c:strCache>
                <c:ptCount val="2"/>
                <c:pt idx="0">
                  <c:v>Yearly report</c:v>
                </c:pt>
                <c:pt idx="1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214-4404-81AA-F4F2F219F2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214-4404-81AA-F4F2F219F2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214-4404-81AA-F4F2F219F2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214-4404-81AA-F4F2F219F2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214-4404-81AA-F4F2F219F2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214-4404-81AA-F4F2F219F2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214-4404-81AA-F4F2F219F2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214-4404-81AA-F4F2F219F2A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214-4404-81AA-F4F2F219F2A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214-4404-81AA-F4F2F219F2A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214-4404-81AA-F4F2F219F2A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B214-4404-81AA-F4F2F219F2A6}"/>
              </c:ext>
            </c:extLst>
          </c:dPt>
          <c:cat>
            <c:strRef>
              <c:f>'4'!$B$5:$B$16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'4'!$D$5:$D$16</c:f>
              <c:numCache>
                <c:formatCode>General</c:formatCode>
                <c:ptCount val="12"/>
                <c:pt idx="0">
                  <c:v>8750000</c:v>
                </c:pt>
                <c:pt idx="1">
                  <c:v>9920000</c:v>
                </c:pt>
                <c:pt idx="2">
                  <c:v>10000000</c:v>
                </c:pt>
                <c:pt idx="3">
                  <c:v>7957400</c:v>
                </c:pt>
                <c:pt idx="4">
                  <c:v>9876500</c:v>
                </c:pt>
                <c:pt idx="5">
                  <c:v>5164500</c:v>
                </c:pt>
                <c:pt idx="6">
                  <c:v>11543600</c:v>
                </c:pt>
                <c:pt idx="7">
                  <c:v>8087900</c:v>
                </c:pt>
                <c:pt idx="8">
                  <c:v>9969800</c:v>
                </c:pt>
                <c:pt idx="9">
                  <c:v>7024000</c:v>
                </c:pt>
                <c:pt idx="10">
                  <c:v>4809300</c:v>
                </c:pt>
                <c:pt idx="11">
                  <c:v>8834800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82-4CA6-9347-8AD43668129B}"/>
            </c:ext>
          </c:extLst>
        </c:ser>
        <c:ser>
          <c:idx val="2"/>
          <c:order val="2"/>
          <c:tx>
            <c:strRef>
              <c:f>'4'!$E$3:$E$4</c:f>
              <c:strCache>
                <c:ptCount val="2"/>
                <c:pt idx="0">
                  <c:v>Yearly report</c:v>
                </c:pt>
                <c:pt idx="1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B214-4404-81AA-F4F2F219F2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B214-4404-81AA-F4F2F219F2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B214-4404-81AA-F4F2F219F2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B214-4404-81AA-F4F2F219F2A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B214-4404-81AA-F4F2F219F2A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B214-4404-81AA-F4F2F219F2A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B214-4404-81AA-F4F2F219F2A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B214-4404-81AA-F4F2F219F2A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B214-4404-81AA-F4F2F219F2A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B214-4404-81AA-F4F2F219F2A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B214-4404-81AA-F4F2F219F2A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B214-4404-81AA-F4F2F219F2A6}"/>
              </c:ext>
            </c:extLst>
          </c:dPt>
          <c:cat>
            <c:strRef>
              <c:f>'4'!$B$5:$B$16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'4'!$E$5:$E$16</c:f>
              <c:numCache>
                <c:formatCode>General</c:formatCode>
                <c:ptCount val="12"/>
                <c:pt idx="0">
                  <c:v>-538500</c:v>
                </c:pt>
                <c:pt idx="1">
                  <c:v>175700</c:v>
                </c:pt>
                <c:pt idx="2">
                  <c:v>1095300</c:v>
                </c:pt>
                <c:pt idx="3">
                  <c:v>612200</c:v>
                </c:pt>
                <c:pt idx="4">
                  <c:v>889500</c:v>
                </c:pt>
                <c:pt idx="5">
                  <c:v>-50900</c:v>
                </c:pt>
                <c:pt idx="6">
                  <c:v>1567100</c:v>
                </c:pt>
                <c:pt idx="7">
                  <c:v>111200</c:v>
                </c:pt>
                <c:pt idx="8">
                  <c:v>90800</c:v>
                </c:pt>
                <c:pt idx="9">
                  <c:v>789200</c:v>
                </c:pt>
                <c:pt idx="10">
                  <c:v>274500</c:v>
                </c:pt>
                <c:pt idx="11">
                  <c:v>486100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82-4CA6-9347-8AD436681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3</xdr:row>
      <xdr:rowOff>52387</xdr:rowOff>
    </xdr:from>
    <xdr:to>
      <xdr:col>8</xdr:col>
      <xdr:colOff>514350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814C3-4C77-7DD8-7ACF-6CAC6D0EC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</xdr:row>
      <xdr:rowOff>66675</xdr:rowOff>
    </xdr:from>
    <xdr:to>
      <xdr:col>9</xdr:col>
      <xdr:colOff>371475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0EA740-254B-54AA-48E7-88DBE9CB2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19</xdr:row>
      <xdr:rowOff>179070</xdr:rowOff>
    </xdr:from>
    <xdr:to>
      <xdr:col>11</xdr:col>
      <xdr:colOff>457200</xdr:colOff>
      <xdr:row>34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C3DCE-48ED-581C-54F4-BAB2B8F5C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87630</xdr:rowOff>
    </xdr:from>
    <xdr:to>
      <xdr:col>14</xdr:col>
      <xdr:colOff>304800</xdr:colOff>
      <xdr:row>16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F57B4E-E965-5A82-CB3B-549A7DA54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</xdr:colOff>
      <xdr:row>19</xdr:row>
      <xdr:rowOff>57150</xdr:rowOff>
    </xdr:from>
    <xdr:to>
      <xdr:col>11</xdr:col>
      <xdr:colOff>381000</xdr:colOff>
      <xdr:row>34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57C0DF-F5D5-53DF-EE50-00EA1759E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Project%20Part%202(2)%20(2)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ALTON/Downloads/Sumia%20Akter(01-061-07)project%202%20(1)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ek" refreshedDate="45673.737876157407" createdVersion="8" refreshedVersion="8" minRefreshableVersion="3" recordCount="77" xr:uid="{08A40509-A33D-465C-A2ED-A3E4E3DFB826}">
  <cacheSource type="worksheet">
    <worksheetSource ref="A3:G80" sheet="1(a)"/>
  </cacheSource>
  <cacheFields count="7">
    <cacheField name="Date" numFmtId="0">
      <sharedItems containsNonDate="0" containsDate="1" containsString="0" containsBlank="1" minDate="2024-01-05T00:00:00" maxDate="2024-03-31T00:00:00"/>
    </cacheField>
    <cacheField name="Region" numFmtId="0">
      <sharedItems containsBlank="1"/>
    </cacheField>
    <cacheField name="Sales Rep" numFmtId="0">
      <sharedItems containsBlank="1"/>
    </cacheField>
    <cacheField name="Product" numFmtId="0">
      <sharedItems containsBlank="1" count="5">
        <s v="Laptop"/>
        <s v="Desktop"/>
        <s v="Tablet"/>
        <s v="Smartphone"/>
        <m/>
      </sharedItems>
    </cacheField>
    <cacheField name="Quantity" numFmtId="0">
      <sharedItems containsString="0" containsBlank="1" containsNumber="1" containsInteger="1" minValue="3" maxValue="20"/>
    </cacheField>
    <cacheField name="Unit Price (BDT)" numFmtId="0">
      <sharedItems containsString="0" containsBlank="1" containsNumber="1" containsInteger="1" minValue="20000" maxValue="70000"/>
    </cacheField>
    <cacheField name="Total Sales (BDT)" numFmtId="0">
      <sharedItems containsString="0" containsBlank="1" containsNumber="1" containsInteger="1" minValue="80000" maxValue="8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ek" refreshedDate="45673.740431944447" createdVersion="8" refreshedVersion="8" minRefreshableVersion="3" recordCount="76" xr:uid="{F39FC291-745A-4D85-9A98-01096F74D2FB}">
  <cacheSource type="worksheet">
    <worksheetSource ref="A3:G79" sheet="1(e)"/>
  </cacheSource>
  <cacheFields count="7">
    <cacheField name="Date" numFmtId="14">
      <sharedItems containsSemiMixedTypes="0" containsNonDate="0" containsDate="1" containsString="0" minDate="2024-01-05T00:00:00" maxDate="2024-03-31T00:00:00"/>
    </cacheField>
    <cacheField name="Region" numFmtId="0">
      <sharedItems count="6">
        <s v="Barishal"/>
        <s v="Chittagong"/>
        <s v="Khulna"/>
        <s v="Rajshahi"/>
        <s v="Sylhet"/>
        <s v="Dhaka"/>
      </sharedItems>
    </cacheField>
    <cacheField name="Sales Rep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3" maxValue="20"/>
    </cacheField>
    <cacheField name="Unit Price (BDT)" numFmtId="0">
      <sharedItems containsSemiMixedTypes="0" containsString="0" containsNumber="1" containsInteger="1" minValue="20000" maxValue="70000"/>
    </cacheField>
    <cacheField name="Total Sales (BDT)" numFmtId="0">
      <sharedItems containsSemiMixedTypes="0" containsString="0" containsNumber="1" containsInteger="1" minValue="80000" maxValue="8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2" refreshedDate="45675.658458217593" createdVersion="8" refreshedVersion="8" minRefreshableVersion="3" recordCount="76" xr:uid="{9809E599-6C71-4D5D-BE4D-0252B6E87FD6}">
  <cacheSource type="worksheet">
    <worksheetSource ref="B5:H81" sheet="2(c)" r:id="rId2"/>
  </cacheSource>
  <cacheFields count="9">
    <cacheField name="Date" numFmtId="14">
      <sharedItems containsSemiMixedTypes="0" containsNonDate="0" containsDate="1" containsString="0" minDate="2024-01-05T00:00:00" maxDate="2024-03-31T00:00:00" count="76"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30T00:00:00"/>
      </sharedItems>
      <fieldGroup par="8"/>
    </cacheField>
    <cacheField name="Region" numFmtId="0">
      <sharedItems count="6">
        <s v="Barishal"/>
        <s v="Chittagong"/>
        <s v="Khulna"/>
        <s v="Rajshahi"/>
        <s v="Sylhet"/>
        <s v="Dhaka"/>
      </sharedItems>
    </cacheField>
    <cacheField name="Sales Rep" numFmtId="0">
      <sharedItems count="6">
        <s v="Arif Hossain"/>
        <s v="Oishi Das"/>
        <s v="Parvez Hasan"/>
        <s v="Nabila Sultana"/>
        <s v="Eva Karim"/>
        <s v="Farhan Islam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3" maxValue="20"/>
    </cacheField>
    <cacheField name="Unit Price (BDT)" numFmtId="0">
      <sharedItems containsSemiMixedTypes="0" containsString="0" containsNumber="1" containsInteger="1" minValue="20000" maxValue="70000"/>
    </cacheField>
    <cacheField name="Total Sales (BDT)" numFmtId="0">
      <sharedItems containsSemiMixedTypes="0" containsString="0" containsNumber="1" containsInteger="1" minValue="80000" maxValue="840000"/>
    </cacheField>
    <cacheField name="Days (Date)" numFmtId="0" databaseField="0">
      <fieldGroup base="0">
        <rangePr groupBy="days" startDate="2024-01-05T00:00:00" endDate="2024-03-31T00:00:00"/>
        <groupItems count="368">
          <s v="&lt;1/5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24"/>
        </groupItems>
      </fieldGroup>
    </cacheField>
    <cacheField name="Months (Date)" numFmtId="0" databaseField="0">
      <fieldGroup base="0">
        <rangePr groupBy="months" startDate="2024-01-05T00:00:00" endDate="2024-03-31T00:00:00"/>
        <groupItems count="14">
          <s v="&lt;1/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2" refreshedDate="45675.721943865741" createdVersion="8" refreshedVersion="8" minRefreshableVersion="3" recordCount="76" xr:uid="{D90F6952-51AC-49D1-A389-1EA4B1EE6D9B}">
  <cacheSource type="worksheet">
    <worksheetSource ref="B3:H79" sheet="Sheet15" r:id="rId2"/>
  </cacheSource>
  <cacheFields count="9">
    <cacheField name="Date" numFmtId="14">
      <sharedItems containsSemiMixedTypes="0" containsNonDate="0" containsDate="1" containsString="0" minDate="2024-01-05T00:00:00" maxDate="2024-03-31T00:00:00" count="76"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30T00:00:00"/>
      </sharedItems>
      <fieldGroup par="8"/>
    </cacheField>
    <cacheField name="Region" numFmtId="0">
      <sharedItems/>
    </cacheField>
    <cacheField name="Sales Rep" numFmtId="0">
      <sharedItems count="6">
        <s v="Arif Hossain"/>
        <s v="Oishi Das"/>
        <s v="Parvez Hasan"/>
        <s v="Nabila Sultana"/>
        <s v="Eva Karim"/>
        <s v="Farhan Islam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3" maxValue="20"/>
    </cacheField>
    <cacheField name="Unit Price (BDT)" numFmtId="0">
      <sharedItems containsSemiMixedTypes="0" containsString="0" containsNumber="1" containsInteger="1" minValue="20000" maxValue="70000"/>
    </cacheField>
    <cacheField name="Total Sales (BDT)" numFmtId="0">
      <sharedItems containsSemiMixedTypes="0" containsString="0" containsNumber="1" containsInteger="1" minValue="80000" maxValue="840000"/>
    </cacheField>
    <cacheField name="Days (Date)" numFmtId="0" databaseField="0">
      <fieldGroup base="0">
        <rangePr groupBy="days" startDate="2024-01-05T00:00:00" endDate="2024-03-31T00:00:00"/>
        <groupItems count="368">
          <s v="&lt;1/5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31/2024"/>
        </groupItems>
      </fieldGroup>
    </cacheField>
    <cacheField name="Months (Date)" numFmtId="0" databaseField="0">
      <fieldGroup base="0">
        <rangePr groupBy="months" startDate="2024-01-05T00:00:00" endDate="2024-03-31T00:00:00"/>
        <groupItems count="14">
          <s v="&lt;1/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3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d v="2024-01-05T00:00:00"/>
    <s v="Barishal"/>
    <s v="Arif Hossain"/>
    <x v="0"/>
    <n v="5"/>
    <n v="70000"/>
    <n v="350000"/>
  </r>
  <r>
    <d v="2024-01-06T00:00:00"/>
    <s v="Chittagong"/>
    <s v="Oishi Das"/>
    <x v="1"/>
    <n v="10"/>
    <n v="50000"/>
    <n v="500000"/>
  </r>
  <r>
    <d v="2024-01-07T00:00:00"/>
    <s v="Khulna"/>
    <s v="Parvez Hasan"/>
    <x v="2"/>
    <n v="7"/>
    <n v="20000"/>
    <n v="140000"/>
  </r>
  <r>
    <d v="2024-01-08T00:00:00"/>
    <s v="Rajshahi"/>
    <s v="Nabila Sultana"/>
    <x v="3"/>
    <n v="15"/>
    <n v="30000"/>
    <n v="450000"/>
  </r>
  <r>
    <d v="2024-01-09T00:00:00"/>
    <s v="Sylhet"/>
    <s v="Eva Karim"/>
    <x v="0"/>
    <n v="3"/>
    <n v="70000"/>
    <n v="210000"/>
  </r>
  <r>
    <d v="2024-01-10T00:00:00"/>
    <s v="Dhaka"/>
    <s v="Farhan Islam"/>
    <x v="1"/>
    <n v="6"/>
    <n v="50000"/>
    <n v="300000"/>
  </r>
  <r>
    <d v="2024-01-11T00:00:00"/>
    <s v="Chittagong"/>
    <s v="Parvez Hasan"/>
    <x v="2"/>
    <n v="4"/>
    <n v="20000"/>
    <n v="80000"/>
  </r>
  <r>
    <d v="2024-01-12T00:00:00"/>
    <s v="Khulna"/>
    <s v="Nabila Sultana"/>
    <x v="3"/>
    <n v="10"/>
    <n v="30000"/>
    <n v="300000"/>
  </r>
  <r>
    <d v="2024-01-13T00:00:00"/>
    <s v="Barishal"/>
    <s v="Arif Hossain"/>
    <x v="0"/>
    <n v="8"/>
    <n v="70000"/>
    <n v="560000"/>
  </r>
  <r>
    <d v="2024-01-14T00:00:00"/>
    <s v="Sylhet"/>
    <s v="Arif Hossain"/>
    <x v="1"/>
    <n v="12"/>
    <n v="50000"/>
    <n v="600000"/>
  </r>
  <r>
    <d v="2024-01-15T00:00:00"/>
    <s v="Dhaka"/>
    <s v="Oishi Das"/>
    <x v="2"/>
    <n v="9"/>
    <n v="20000"/>
    <n v="180000"/>
  </r>
  <r>
    <d v="2024-01-16T00:00:00"/>
    <s v="Chittagong"/>
    <s v="Parvez Hasan"/>
    <x v="3"/>
    <n v="5"/>
    <n v="30000"/>
    <n v="150000"/>
  </r>
  <r>
    <d v="2024-01-17T00:00:00"/>
    <s v="Khulna"/>
    <s v="Nabila Sultana"/>
    <x v="0"/>
    <n v="11"/>
    <n v="70000"/>
    <n v="770000"/>
  </r>
  <r>
    <d v="2024-01-18T00:00:00"/>
    <s v="Rajshahi"/>
    <s v="Eva Karim"/>
    <x v="1"/>
    <n v="7"/>
    <n v="50000"/>
    <n v="350000"/>
  </r>
  <r>
    <d v="2024-01-19T00:00:00"/>
    <s v="Sylhet"/>
    <s v="Farhan Islam"/>
    <x v="2"/>
    <n v="6"/>
    <n v="20000"/>
    <n v="120000"/>
  </r>
  <r>
    <d v="2024-01-20T00:00:00"/>
    <s v="Dhaka"/>
    <s v="Parvez Hasan"/>
    <x v="3"/>
    <n v="13"/>
    <n v="30000"/>
    <n v="390000"/>
  </r>
  <r>
    <d v="2024-01-21T00:00:00"/>
    <s v="Barishal"/>
    <s v="Nabila Sultana"/>
    <x v="0"/>
    <n v="9"/>
    <n v="70000"/>
    <n v="630000"/>
  </r>
  <r>
    <d v="2024-01-22T00:00:00"/>
    <s v="Khulna"/>
    <s v="Eva Karim"/>
    <x v="1"/>
    <n v="8"/>
    <n v="50000"/>
    <n v="400000"/>
  </r>
  <r>
    <d v="2024-01-23T00:00:00"/>
    <s v="Rajshahi"/>
    <s v="Farhan Islam"/>
    <x v="2"/>
    <n v="14"/>
    <n v="20000"/>
    <n v="280000"/>
  </r>
  <r>
    <d v="2024-01-24T00:00:00"/>
    <s v="Sylhet"/>
    <s v="Parvez Hasan"/>
    <x v="3"/>
    <n v="7"/>
    <n v="30000"/>
    <n v="210000"/>
  </r>
  <r>
    <d v="2024-01-25T00:00:00"/>
    <s v="Dhaka"/>
    <s v="Nabila Sultana"/>
    <x v="0"/>
    <n v="10"/>
    <n v="70000"/>
    <n v="700000"/>
  </r>
  <r>
    <d v="2024-01-26T00:00:00"/>
    <s v="Chittagong"/>
    <s v="Arif Hossain"/>
    <x v="1"/>
    <n v="5"/>
    <n v="50000"/>
    <n v="250000"/>
  </r>
  <r>
    <d v="2024-01-27T00:00:00"/>
    <s v="Barishal"/>
    <s v="Oishi Das"/>
    <x v="2"/>
    <n v="8"/>
    <n v="20000"/>
    <n v="160000"/>
  </r>
  <r>
    <d v="2024-01-28T00:00:00"/>
    <s v="Rajshahi"/>
    <s v="Parvez Hasan"/>
    <x v="3"/>
    <n v="6"/>
    <n v="30000"/>
    <n v="180000"/>
  </r>
  <r>
    <d v="2024-01-29T00:00:00"/>
    <s v="Sylhet"/>
    <s v="Nabila Sultana"/>
    <x v="0"/>
    <n v="7"/>
    <n v="70000"/>
    <n v="490000"/>
  </r>
  <r>
    <d v="2024-02-01T00:00:00"/>
    <s v="Dhaka"/>
    <s v="Eva Karim"/>
    <x v="0"/>
    <n v="8"/>
    <n v="70000"/>
    <n v="560000"/>
  </r>
  <r>
    <d v="2024-02-02T00:00:00"/>
    <s v="Chittagong"/>
    <s v="Farhan Islam"/>
    <x v="1"/>
    <n v="6"/>
    <n v="50000"/>
    <n v="300000"/>
  </r>
  <r>
    <d v="2024-02-03T00:00:00"/>
    <s v="Khulna"/>
    <s v="Parvez Hasan"/>
    <x v="2"/>
    <n v="10"/>
    <n v="20000"/>
    <n v="200000"/>
  </r>
  <r>
    <d v="2024-02-04T00:00:00"/>
    <s v="Rajshahi"/>
    <s v="Arif Hossain"/>
    <x v="3"/>
    <n v="20"/>
    <n v="30000"/>
    <n v="600000"/>
  </r>
  <r>
    <d v="2024-02-05T00:00:00"/>
    <s v="Barishal"/>
    <s v="Eva Karim"/>
    <x v="0"/>
    <n v="4"/>
    <n v="70000"/>
    <n v="280000"/>
  </r>
  <r>
    <d v="2024-02-06T00:00:00"/>
    <s v="Dhaka"/>
    <s v="Farhan Islam"/>
    <x v="1"/>
    <n v="9"/>
    <n v="50000"/>
    <n v="450000"/>
  </r>
  <r>
    <d v="2024-02-07T00:00:00"/>
    <s v="Chittagong"/>
    <s v="Eva Karim"/>
    <x v="2"/>
    <n v="5"/>
    <n v="20000"/>
    <n v="100000"/>
  </r>
  <r>
    <d v="2024-02-08T00:00:00"/>
    <s v="Barishal"/>
    <s v="Farhan Islam"/>
    <x v="3"/>
    <n v="15"/>
    <n v="30000"/>
    <n v="450000"/>
  </r>
  <r>
    <d v="2024-02-09T00:00:00"/>
    <s v="Rajshahi"/>
    <s v="Parvez Hasan"/>
    <x v="0"/>
    <n v="7"/>
    <n v="70000"/>
    <n v="490000"/>
  </r>
  <r>
    <d v="2024-02-10T00:00:00"/>
    <s v="Sylhet"/>
    <s v="Nabila Sultana"/>
    <x v="1"/>
    <n v="11"/>
    <n v="50000"/>
    <n v="550000"/>
  </r>
  <r>
    <d v="2024-02-11T00:00:00"/>
    <s v="Dhaka"/>
    <s v="Arif Hossain"/>
    <x v="2"/>
    <n v="12"/>
    <n v="20000"/>
    <n v="240000"/>
  </r>
  <r>
    <d v="2024-02-12T00:00:00"/>
    <s v="Chittagong"/>
    <s v="Arif Hossain"/>
    <x v="3"/>
    <n v="10"/>
    <n v="30000"/>
    <n v="300000"/>
  </r>
  <r>
    <d v="2024-02-13T00:00:00"/>
    <s v="Khulna"/>
    <s v="Oishi Das"/>
    <x v="0"/>
    <n v="9"/>
    <n v="70000"/>
    <n v="630000"/>
  </r>
  <r>
    <d v="2024-02-14T00:00:00"/>
    <s v="Rajshahi"/>
    <s v="Parvez Hasan"/>
    <x v="1"/>
    <n v="8"/>
    <n v="50000"/>
    <n v="400000"/>
  </r>
  <r>
    <d v="2024-02-15T00:00:00"/>
    <s v="Sylhet"/>
    <s v="Nabila Sultana"/>
    <x v="2"/>
    <n v="11"/>
    <n v="20000"/>
    <n v="220000"/>
  </r>
  <r>
    <d v="2024-02-16T00:00:00"/>
    <s v="Barishal"/>
    <s v="Eva Karim"/>
    <x v="3"/>
    <n v="14"/>
    <n v="30000"/>
    <n v="420000"/>
  </r>
  <r>
    <d v="2024-02-17T00:00:00"/>
    <s v="Chittagong"/>
    <s v="Farhan Islam"/>
    <x v="0"/>
    <n v="10"/>
    <n v="70000"/>
    <n v="700000"/>
  </r>
  <r>
    <d v="2024-02-18T00:00:00"/>
    <s v="Khulna"/>
    <s v="Parvez Hasan"/>
    <x v="1"/>
    <n v="9"/>
    <n v="50000"/>
    <n v="450000"/>
  </r>
  <r>
    <d v="2024-02-19T00:00:00"/>
    <s v="Rajshahi"/>
    <s v="Nabila Sultana"/>
    <x v="2"/>
    <n v="13"/>
    <n v="20000"/>
    <n v="260000"/>
  </r>
  <r>
    <d v="2024-02-20T00:00:00"/>
    <s v="Sylhet"/>
    <s v="Eva Karim"/>
    <x v="3"/>
    <n v="8"/>
    <n v="30000"/>
    <n v="240000"/>
  </r>
  <r>
    <d v="2024-02-21T00:00:00"/>
    <s v="Dhaka"/>
    <s v="Farhan Islam"/>
    <x v="0"/>
    <n v="12"/>
    <n v="70000"/>
    <n v="840000"/>
  </r>
  <r>
    <d v="2024-02-22T00:00:00"/>
    <s v="Chittagong"/>
    <s v="Parvez Hasan"/>
    <x v="1"/>
    <n v="7"/>
    <n v="50000"/>
    <n v="350000"/>
  </r>
  <r>
    <d v="2024-02-23T00:00:00"/>
    <s v="Khulna"/>
    <s v="Nabila Sultana"/>
    <x v="2"/>
    <n v="9"/>
    <n v="20000"/>
    <n v="180000"/>
  </r>
  <r>
    <d v="2024-02-24T00:00:00"/>
    <s v="Barishal"/>
    <s v="Arif Hossain"/>
    <x v="3"/>
    <n v="12"/>
    <n v="30000"/>
    <n v="360000"/>
  </r>
  <r>
    <d v="2024-02-25T00:00:00"/>
    <s v="Sylhet"/>
    <s v="Oishi Das"/>
    <x v="0"/>
    <n v="5"/>
    <n v="70000"/>
    <n v="350000"/>
  </r>
  <r>
    <d v="2024-03-01T00:00:00"/>
    <s v="Dhaka"/>
    <s v="Arif Hossain"/>
    <x v="0"/>
    <n v="12"/>
    <n v="70000"/>
    <n v="840000"/>
  </r>
  <r>
    <d v="2024-03-02T00:00:00"/>
    <s v="Chittagong"/>
    <s v="Arif Hossain"/>
    <x v="1"/>
    <n v="8"/>
    <n v="50000"/>
    <n v="400000"/>
  </r>
  <r>
    <d v="2024-03-03T00:00:00"/>
    <s v="Khulna"/>
    <s v="Eva Karim"/>
    <x v="2"/>
    <n v="7"/>
    <n v="20000"/>
    <n v="140000"/>
  </r>
  <r>
    <d v="2024-03-04T00:00:00"/>
    <s v="Rajshahi"/>
    <s v="Farhan Islam"/>
    <x v="3"/>
    <n v="9"/>
    <n v="30000"/>
    <n v="270000"/>
  </r>
  <r>
    <d v="2024-03-05T00:00:00"/>
    <s v="Sylhet"/>
    <s v="Eva Karim"/>
    <x v="0"/>
    <n v="6"/>
    <n v="70000"/>
    <n v="420000"/>
  </r>
  <r>
    <d v="2024-03-06T00:00:00"/>
    <s v="Barishal"/>
    <s v="Farhan Islam"/>
    <x v="1"/>
    <n v="10"/>
    <n v="50000"/>
    <n v="500000"/>
  </r>
  <r>
    <d v="2024-03-07T00:00:00"/>
    <s v="Chittagong"/>
    <s v="Parvez Hasan"/>
    <x v="2"/>
    <n v="8"/>
    <n v="20000"/>
    <n v="160000"/>
  </r>
  <r>
    <d v="2024-03-08T00:00:00"/>
    <s v="Barishal"/>
    <s v="Nabila Sultana"/>
    <x v="3"/>
    <n v="13"/>
    <n v="30000"/>
    <n v="390000"/>
  </r>
  <r>
    <d v="2024-03-09T00:00:00"/>
    <s v="Rajshahi"/>
    <s v="Arif Hossain"/>
    <x v="0"/>
    <n v="9"/>
    <n v="70000"/>
    <n v="630000"/>
  </r>
  <r>
    <d v="2024-03-10T00:00:00"/>
    <s v="Sylhet"/>
    <s v="Parvez Hasan"/>
    <x v="1"/>
    <n v="5"/>
    <n v="50000"/>
    <n v="250000"/>
  </r>
  <r>
    <d v="2024-03-11T00:00:00"/>
    <s v="Dhaka"/>
    <s v="Oishi Das"/>
    <x v="2"/>
    <n v="11"/>
    <n v="20000"/>
    <n v="220000"/>
  </r>
  <r>
    <d v="2024-03-12T00:00:00"/>
    <s v="Chittagong"/>
    <s v="Parvez Hasan"/>
    <x v="3"/>
    <n v="14"/>
    <n v="30000"/>
    <n v="420000"/>
  </r>
  <r>
    <d v="2024-03-13T00:00:00"/>
    <s v="Khulna"/>
    <s v="Nabila Sultana"/>
    <x v="0"/>
    <n v="10"/>
    <n v="70000"/>
    <n v="700000"/>
  </r>
  <r>
    <d v="2024-03-14T00:00:00"/>
    <s v="Rajshahi"/>
    <s v="Eva Karim"/>
    <x v="1"/>
    <n v="6"/>
    <n v="50000"/>
    <n v="300000"/>
  </r>
  <r>
    <d v="2024-03-15T00:00:00"/>
    <s v="Barishal"/>
    <s v="Farhan Islam"/>
    <x v="2"/>
    <n v="8"/>
    <n v="20000"/>
    <n v="160000"/>
  </r>
  <r>
    <d v="2024-03-16T00:00:00"/>
    <s v="Dhaka"/>
    <s v="Parvez Hasan"/>
    <x v="3"/>
    <n v="12"/>
    <n v="30000"/>
    <n v="360000"/>
  </r>
  <r>
    <d v="2024-03-17T00:00:00"/>
    <s v="Chittagong"/>
    <s v="Nabila Sultana"/>
    <x v="0"/>
    <n v="9"/>
    <n v="70000"/>
    <n v="630000"/>
  </r>
  <r>
    <d v="2024-03-18T00:00:00"/>
    <s v="Barishal"/>
    <s v="Oishi Das"/>
    <x v="1"/>
    <n v="7"/>
    <n v="50000"/>
    <n v="350000"/>
  </r>
  <r>
    <d v="2024-03-19T00:00:00"/>
    <s v="Rajshahi"/>
    <s v="Parvez Hasan"/>
    <x v="2"/>
    <n v="14"/>
    <n v="20000"/>
    <n v="280000"/>
  </r>
  <r>
    <d v="2024-03-20T00:00:00"/>
    <s v="Sylhet"/>
    <s v="Nabila Sultana"/>
    <x v="3"/>
    <n v="8"/>
    <n v="30000"/>
    <n v="240000"/>
  </r>
  <r>
    <d v="2024-03-21T00:00:00"/>
    <s v="Dhaka"/>
    <s v="Eva Karim"/>
    <x v="0"/>
    <n v="11"/>
    <n v="70000"/>
    <n v="770000"/>
  </r>
  <r>
    <d v="2024-03-22T00:00:00"/>
    <s v="Barishal"/>
    <s v="Farhan Islam"/>
    <x v="1"/>
    <n v="5"/>
    <n v="50000"/>
    <n v="250000"/>
  </r>
  <r>
    <d v="2024-03-23T00:00:00"/>
    <s v="Khulna"/>
    <s v="Parvez Hasan"/>
    <x v="2"/>
    <n v="10"/>
    <n v="20000"/>
    <n v="200000"/>
  </r>
  <r>
    <d v="2024-03-24T00:00:00"/>
    <s v="Rajshahi"/>
    <s v="Nabila Sultana"/>
    <x v="3"/>
    <n v="9"/>
    <n v="30000"/>
    <n v="270000"/>
  </r>
  <r>
    <d v="2024-03-25T00:00:00"/>
    <s v="Sylhet"/>
    <s v="Farhan Islam"/>
    <x v="0"/>
    <n v="10"/>
    <n v="70000"/>
    <n v="700000"/>
  </r>
  <r>
    <d v="2024-03-30T00:00:00"/>
    <s v="Barishal"/>
    <s v="Nabila Sultana"/>
    <x v="3"/>
    <n v="5"/>
    <n v="30000"/>
    <n v="150000"/>
  </r>
  <r>
    <m/>
    <m/>
    <m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d v="2024-01-05T00:00:00"/>
    <x v="0"/>
    <s v="Arif Hossain"/>
    <s v="Laptop"/>
    <n v="5"/>
    <n v="70000"/>
    <n v="350000"/>
  </r>
  <r>
    <d v="2024-01-06T00:00:00"/>
    <x v="1"/>
    <s v="Oishi Das"/>
    <s v="Desktop"/>
    <n v="10"/>
    <n v="50000"/>
    <n v="500000"/>
  </r>
  <r>
    <d v="2024-01-07T00:00:00"/>
    <x v="2"/>
    <s v="Parvez Hasan"/>
    <s v="Tablet"/>
    <n v="7"/>
    <n v="20000"/>
    <n v="140000"/>
  </r>
  <r>
    <d v="2024-01-08T00:00:00"/>
    <x v="3"/>
    <s v="Nabila Sultana"/>
    <s v="Smartphone"/>
    <n v="15"/>
    <n v="30000"/>
    <n v="450000"/>
  </r>
  <r>
    <d v="2024-01-09T00:00:00"/>
    <x v="4"/>
    <s v="Eva Karim"/>
    <s v="Laptop"/>
    <n v="3"/>
    <n v="70000"/>
    <n v="210000"/>
  </r>
  <r>
    <d v="2024-01-10T00:00:00"/>
    <x v="5"/>
    <s v="Farhan Islam"/>
    <s v="Desktop"/>
    <n v="6"/>
    <n v="50000"/>
    <n v="300000"/>
  </r>
  <r>
    <d v="2024-01-11T00:00:00"/>
    <x v="1"/>
    <s v="Parvez Hasan"/>
    <s v="Tablet"/>
    <n v="4"/>
    <n v="20000"/>
    <n v="80000"/>
  </r>
  <r>
    <d v="2024-01-12T00:00:00"/>
    <x v="2"/>
    <s v="Nabila Sultana"/>
    <s v="Smartphone"/>
    <n v="10"/>
    <n v="30000"/>
    <n v="300000"/>
  </r>
  <r>
    <d v="2024-01-13T00:00:00"/>
    <x v="0"/>
    <s v="Arif Hossain"/>
    <s v="Laptop"/>
    <n v="8"/>
    <n v="70000"/>
    <n v="560000"/>
  </r>
  <r>
    <d v="2024-01-14T00:00:00"/>
    <x v="4"/>
    <s v="Arif Hossain"/>
    <s v="Desktop"/>
    <n v="12"/>
    <n v="50000"/>
    <n v="600000"/>
  </r>
  <r>
    <d v="2024-01-15T00:00:00"/>
    <x v="5"/>
    <s v="Oishi Das"/>
    <s v="Tablet"/>
    <n v="9"/>
    <n v="20000"/>
    <n v="180000"/>
  </r>
  <r>
    <d v="2024-01-16T00:00:00"/>
    <x v="1"/>
    <s v="Parvez Hasan"/>
    <s v="Smartphone"/>
    <n v="5"/>
    <n v="30000"/>
    <n v="150000"/>
  </r>
  <r>
    <d v="2024-01-17T00:00:00"/>
    <x v="2"/>
    <s v="Nabila Sultana"/>
    <s v="Laptop"/>
    <n v="11"/>
    <n v="70000"/>
    <n v="770000"/>
  </r>
  <r>
    <d v="2024-01-18T00:00:00"/>
    <x v="3"/>
    <s v="Eva Karim"/>
    <s v="Desktop"/>
    <n v="7"/>
    <n v="50000"/>
    <n v="350000"/>
  </r>
  <r>
    <d v="2024-01-19T00:00:00"/>
    <x v="4"/>
    <s v="Farhan Islam"/>
    <s v="Tablet"/>
    <n v="6"/>
    <n v="20000"/>
    <n v="120000"/>
  </r>
  <r>
    <d v="2024-01-20T00:00:00"/>
    <x v="5"/>
    <s v="Parvez Hasan"/>
    <s v="Smartphone"/>
    <n v="13"/>
    <n v="30000"/>
    <n v="390000"/>
  </r>
  <r>
    <d v="2024-01-21T00:00:00"/>
    <x v="0"/>
    <s v="Nabila Sultana"/>
    <s v="Laptop"/>
    <n v="9"/>
    <n v="70000"/>
    <n v="630000"/>
  </r>
  <r>
    <d v="2024-01-22T00:00:00"/>
    <x v="2"/>
    <s v="Eva Karim"/>
    <s v="Desktop"/>
    <n v="8"/>
    <n v="50000"/>
    <n v="400000"/>
  </r>
  <r>
    <d v="2024-01-23T00:00:00"/>
    <x v="3"/>
    <s v="Farhan Islam"/>
    <s v="Tablet"/>
    <n v="14"/>
    <n v="20000"/>
    <n v="280000"/>
  </r>
  <r>
    <d v="2024-01-24T00:00:00"/>
    <x v="4"/>
    <s v="Parvez Hasan"/>
    <s v="Smartphone"/>
    <n v="7"/>
    <n v="30000"/>
    <n v="210000"/>
  </r>
  <r>
    <d v="2024-01-25T00:00:00"/>
    <x v="5"/>
    <s v="Nabila Sultana"/>
    <s v="Laptop"/>
    <n v="10"/>
    <n v="70000"/>
    <n v="700000"/>
  </r>
  <r>
    <d v="2024-01-26T00:00:00"/>
    <x v="1"/>
    <s v="Arif Hossain"/>
    <s v="Desktop"/>
    <n v="5"/>
    <n v="50000"/>
    <n v="250000"/>
  </r>
  <r>
    <d v="2024-01-27T00:00:00"/>
    <x v="0"/>
    <s v="Oishi Das"/>
    <s v="Tablet"/>
    <n v="8"/>
    <n v="20000"/>
    <n v="160000"/>
  </r>
  <r>
    <d v="2024-01-28T00:00:00"/>
    <x v="3"/>
    <s v="Parvez Hasan"/>
    <s v="Smartphone"/>
    <n v="6"/>
    <n v="30000"/>
    <n v="180000"/>
  </r>
  <r>
    <d v="2024-01-29T00:00:00"/>
    <x v="4"/>
    <s v="Nabila Sultana"/>
    <s v="Laptop"/>
    <n v="7"/>
    <n v="70000"/>
    <n v="490000"/>
  </r>
  <r>
    <d v="2024-02-01T00:00:00"/>
    <x v="5"/>
    <s v="Eva Karim"/>
    <s v="Laptop"/>
    <n v="8"/>
    <n v="70000"/>
    <n v="560000"/>
  </r>
  <r>
    <d v="2024-02-02T00:00:00"/>
    <x v="1"/>
    <s v="Farhan Islam"/>
    <s v="Desktop"/>
    <n v="6"/>
    <n v="50000"/>
    <n v="300000"/>
  </r>
  <r>
    <d v="2024-02-03T00:00:00"/>
    <x v="2"/>
    <s v="Parvez Hasan"/>
    <s v="Tablet"/>
    <n v="10"/>
    <n v="20000"/>
    <n v="200000"/>
  </r>
  <r>
    <d v="2024-02-04T00:00:00"/>
    <x v="3"/>
    <s v="Arif Hossain"/>
    <s v="Smartphone"/>
    <n v="20"/>
    <n v="30000"/>
    <n v="600000"/>
  </r>
  <r>
    <d v="2024-02-05T00:00:00"/>
    <x v="0"/>
    <s v="Eva Karim"/>
    <s v="Laptop"/>
    <n v="4"/>
    <n v="70000"/>
    <n v="280000"/>
  </r>
  <r>
    <d v="2024-02-06T00:00:00"/>
    <x v="5"/>
    <s v="Farhan Islam"/>
    <s v="Desktop"/>
    <n v="9"/>
    <n v="50000"/>
    <n v="450000"/>
  </r>
  <r>
    <d v="2024-02-07T00:00:00"/>
    <x v="1"/>
    <s v="Eva Karim"/>
    <s v="Tablet"/>
    <n v="5"/>
    <n v="20000"/>
    <n v="100000"/>
  </r>
  <r>
    <d v="2024-02-08T00:00:00"/>
    <x v="0"/>
    <s v="Farhan Islam"/>
    <s v="Smartphone"/>
    <n v="15"/>
    <n v="30000"/>
    <n v="450000"/>
  </r>
  <r>
    <d v="2024-02-09T00:00:00"/>
    <x v="3"/>
    <s v="Parvez Hasan"/>
    <s v="Laptop"/>
    <n v="7"/>
    <n v="70000"/>
    <n v="490000"/>
  </r>
  <r>
    <d v="2024-02-10T00:00:00"/>
    <x v="4"/>
    <s v="Nabila Sultana"/>
    <s v="Desktop"/>
    <n v="11"/>
    <n v="50000"/>
    <n v="550000"/>
  </r>
  <r>
    <d v="2024-02-11T00:00:00"/>
    <x v="5"/>
    <s v="Arif Hossain"/>
    <s v="Tablet"/>
    <n v="12"/>
    <n v="20000"/>
    <n v="240000"/>
  </r>
  <r>
    <d v="2024-02-12T00:00:00"/>
    <x v="1"/>
    <s v="Arif Hossain"/>
    <s v="Smartphone"/>
    <n v="10"/>
    <n v="30000"/>
    <n v="300000"/>
  </r>
  <r>
    <d v="2024-02-13T00:00:00"/>
    <x v="2"/>
    <s v="Oishi Das"/>
    <s v="Laptop"/>
    <n v="9"/>
    <n v="70000"/>
    <n v="630000"/>
  </r>
  <r>
    <d v="2024-02-14T00:00:00"/>
    <x v="3"/>
    <s v="Parvez Hasan"/>
    <s v="Desktop"/>
    <n v="8"/>
    <n v="50000"/>
    <n v="400000"/>
  </r>
  <r>
    <d v="2024-02-15T00:00:00"/>
    <x v="4"/>
    <s v="Nabila Sultana"/>
    <s v="Tablet"/>
    <n v="11"/>
    <n v="20000"/>
    <n v="220000"/>
  </r>
  <r>
    <d v="2024-02-16T00:00:00"/>
    <x v="0"/>
    <s v="Eva Karim"/>
    <s v="Smartphone"/>
    <n v="14"/>
    <n v="30000"/>
    <n v="420000"/>
  </r>
  <r>
    <d v="2024-02-17T00:00:00"/>
    <x v="1"/>
    <s v="Farhan Islam"/>
    <s v="Laptop"/>
    <n v="10"/>
    <n v="70000"/>
    <n v="700000"/>
  </r>
  <r>
    <d v="2024-02-18T00:00:00"/>
    <x v="2"/>
    <s v="Parvez Hasan"/>
    <s v="Desktop"/>
    <n v="9"/>
    <n v="50000"/>
    <n v="450000"/>
  </r>
  <r>
    <d v="2024-02-19T00:00:00"/>
    <x v="3"/>
    <s v="Nabila Sultana"/>
    <s v="Tablet"/>
    <n v="13"/>
    <n v="20000"/>
    <n v="260000"/>
  </r>
  <r>
    <d v="2024-02-20T00:00:00"/>
    <x v="4"/>
    <s v="Eva Karim"/>
    <s v="Smartphone"/>
    <n v="8"/>
    <n v="30000"/>
    <n v="240000"/>
  </r>
  <r>
    <d v="2024-02-21T00:00:00"/>
    <x v="5"/>
    <s v="Farhan Islam"/>
    <s v="Laptop"/>
    <n v="12"/>
    <n v="70000"/>
    <n v="840000"/>
  </r>
  <r>
    <d v="2024-02-22T00:00:00"/>
    <x v="1"/>
    <s v="Parvez Hasan"/>
    <s v="Desktop"/>
    <n v="7"/>
    <n v="50000"/>
    <n v="350000"/>
  </r>
  <r>
    <d v="2024-02-23T00:00:00"/>
    <x v="2"/>
    <s v="Nabila Sultana"/>
    <s v="Tablet"/>
    <n v="9"/>
    <n v="20000"/>
    <n v="180000"/>
  </r>
  <r>
    <d v="2024-02-24T00:00:00"/>
    <x v="0"/>
    <s v="Arif Hossain"/>
    <s v="Smartphone"/>
    <n v="12"/>
    <n v="30000"/>
    <n v="360000"/>
  </r>
  <r>
    <d v="2024-02-25T00:00:00"/>
    <x v="4"/>
    <s v="Oishi Das"/>
    <s v="Laptop"/>
    <n v="5"/>
    <n v="70000"/>
    <n v="350000"/>
  </r>
  <r>
    <d v="2024-03-01T00:00:00"/>
    <x v="5"/>
    <s v="Arif Hossain"/>
    <s v="Laptop"/>
    <n v="12"/>
    <n v="70000"/>
    <n v="840000"/>
  </r>
  <r>
    <d v="2024-03-02T00:00:00"/>
    <x v="1"/>
    <s v="Arif Hossain"/>
    <s v="Desktop"/>
    <n v="8"/>
    <n v="50000"/>
    <n v="400000"/>
  </r>
  <r>
    <d v="2024-03-03T00:00:00"/>
    <x v="2"/>
    <s v="Eva Karim"/>
    <s v="Tablet"/>
    <n v="7"/>
    <n v="20000"/>
    <n v="140000"/>
  </r>
  <r>
    <d v="2024-03-04T00:00:00"/>
    <x v="3"/>
    <s v="Farhan Islam"/>
    <s v="Smartphone"/>
    <n v="9"/>
    <n v="30000"/>
    <n v="270000"/>
  </r>
  <r>
    <d v="2024-03-05T00:00:00"/>
    <x v="4"/>
    <s v="Eva Karim"/>
    <s v="Laptop"/>
    <n v="6"/>
    <n v="70000"/>
    <n v="420000"/>
  </r>
  <r>
    <d v="2024-03-06T00:00:00"/>
    <x v="0"/>
    <s v="Farhan Islam"/>
    <s v="Desktop"/>
    <n v="10"/>
    <n v="50000"/>
    <n v="500000"/>
  </r>
  <r>
    <d v="2024-03-07T00:00:00"/>
    <x v="1"/>
    <s v="Parvez Hasan"/>
    <s v="Tablet"/>
    <n v="8"/>
    <n v="20000"/>
    <n v="160000"/>
  </r>
  <r>
    <d v="2024-03-08T00:00:00"/>
    <x v="0"/>
    <s v="Nabila Sultana"/>
    <s v="Smartphone"/>
    <n v="13"/>
    <n v="30000"/>
    <n v="390000"/>
  </r>
  <r>
    <d v="2024-03-09T00:00:00"/>
    <x v="3"/>
    <s v="Arif Hossain"/>
    <s v="Laptop"/>
    <n v="9"/>
    <n v="70000"/>
    <n v="630000"/>
  </r>
  <r>
    <d v="2024-03-10T00:00:00"/>
    <x v="4"/>
    <s v="Parvez Hasan"/>
    <s v="Desktop"/>
    <n v="5"/>
    <n v="50000"/>
    <n v="250000"/>
  </r>
  <r>
    <d v="2024-03-11T00:00:00"/>
    <x v="5"/>
    <s v="Oishi Das"/>
    <s v="Tablet"/>
    <n v="11"/>
    <n v="20000"/>
    <n v="220000"/>
  </r>
  <r>
    <d v="2024-03-12T00:00:00"/>
    <x v="1"/>
    <s v="Parvez Hasan"/>
    <s v="Smartphone"/>
    <n v="14"/>
    <n v="30000"/>
    <n v="420000"/>
  </r>
  <r>
    <d v="2024-03-13T00:00:00"/>
    <x v="2"/>
    <s v="Nabila Sultana"/>
    <s v="Laptop"/>
    <n v="10"/>
    <n v="70000"/>
    <n v="700000"/>
  </r>
  <r>
    <d v="2024-03-14T00:00:00"/>
    <x v="3"/>
    <s v="Eva Karim"/>
    <s v="Desktop"/>
    <n v="6"/>
    <n v="50000"/>
    <n v="300000"/>
  </r>
  <r>
    <d v="2024-03-15T00:00:00"/>
    <x v="0"/>
    <s v="Farhan Islam"/>
    <s v="Tablet"/>
    <n v="8"/>
    <n v="20000"/>
    <n v="160000"/>
  </r>
  <r>
    <d v="2024-03-16T00:00:00"/>
    <x v="5"/>
    <s v="Parvez Hasan"/>
    <s v="Smartphone"/>
    <n v="12"/>
    <n v="30000"/>
    <n v="360000"/>
  </r>
  <r>
    <d v="2024-03-17T00:00:00"/>
    <x v="1"/>
    <s v="Nabila Sultana"/>
    <s v="Laptop"/>
    <n v="9"/>
    <n v="70000"/>
    <n v="630000"/>
  </r>
  <r>
    <d v="2024-03-18T00:00:00"/>
    <x v="0"/>
    <s v="Oishi Das"/>
    <s v="Desktop"/>
    <n v="7"/>
    <n v="50000"/>
    <n v="350000"/>
  </r>
  <r>
    <d v="2024-03-19T00:00:00"/>
    <x v="3"/>
    <s v="Parvez Hasan"/>
    <s v="Tablet"/>
    <n v="14"/>
    <n v="20000"/>
    <n v="280000"/>
  </r>
  <r>
    <d v="2024-03-20T00:00:00"/>
    <x v="4"/>
    <s v="Nabila Sultana"/>
    <s v="Smartphone"/>
    <n v="8"/>
    <n v="30000"/>
    <n v="240000"/>
  </r>
  <r>
    <d v="2024-03-21T00:00:00"/>
    <x v="5"/>
    <s v="Eva Karim"/>
    <s v="Laptop"/>
    <n v="11"/>
    <n v="70000"/>
    <n v="770000"/>
  </r>
  <r>
    <d v="2024-03-22T00:00:00"/>
    <x v="0"/>
    <s v="Farhan Islam"/>
    <s v="Desktop"/>
    <n v="5"/>
    <n v="50000"/>
    <n v="250000"/>
  </r>
  <r>
    <d v="2024-03-23T00:00:00"/>
    <x v="2"/>
    <s v="Parvez Hasan"/>
    <s v="Tablet"/>
    <n v="10"/>
    <n v="20000"/>
    <n v="200000"/>
  </r>
  <r>
    <d v="2024-03-24T00:00:00"/>
    <x v="3"/>
    <s v="Nabila Sultana"/>
    <s v="Smartphone"/>
    <n v="9"/>
    <n v="30000"/>
    <n v="270000"/>
  </r>
  <r>
    <d v="2024-03-25T00:00:00"/>
    <x v="4"/>
    <s v="Farhan Islam"/>
    <s v="Laptop"/>
    <n v="10"/>
    <n v="70000"/>
    <n v="700000"/>
  </r>
  <r>
    <d v="2024-03-30T00:00:00"/>
    <x v="0"/>
    <s v="Nabila Sultana"/>
    <s v="Smartphone"/>
    <n v="5"/>
    <n v="30000"/>
    <n v="150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x v="0"/>
    <x v="0"/>
    <s v="Laptop"/>
    <n v="5"/>
    <n v="70000"/>
    <n v="350000"/>
  </r>
  <r>
    <x v="1"/>
    <x v="1"/>
    <x v="1"/>
    <s v="Desktop"/>
    <n v="10"/>
    <n v="50000"/>
    <n v="500000"/>
  </r>
  <r>
    <x v="2"/>
    <x v="2"/>
    <x v="2"/>
    <s v="Tablet"/>
    <n v="7"/>
    <n v="20000"/>
    <n v="140000"/>
  </r>
  <r>
    <x v="3"/>
    <x v="3"/>
    <x v="3"/>
    <s v="Smartphone"/>
    <n v="15"/>
    <n v="30000"/>
    <n v="450000"/>
  </r>
  <r>
    <x v="4"/>
    <x v="4"/>
    <x v="4"/>
    <s v="Laptop"/>
    <n v="3"/>
    <n v="70000"/>
    <n v="210000"/>
  </r>
  <r>
    <x v="5"/>
    <x v="5"/>
    <x v="5"/>
    <s v="Desktop"/>
    <n v="6"/>
    <n v="50000"/>
    <n v="300000"/>
  </r>
  <r>
    <x v="6"/>
    <x v="1"/>
    <x v="2"/>
    <s v="Tablet"/>
    <n v="4"/>
    <n v="20000"/>
    <n v="80000"/>
  </r>
  <r>
    <x v="7"/>
    <x v="2"/>
    <x v="3"/>
    <s v="Smartphone"/>
    <n v="10"/>
    <n v="30000"/>
    <n v="300000"/>
  </r>
  <r>
    <x v="8"/>
    <x v="0"/>
    <x v="0"/>
    <s v="Laptop"/>
    <n v="8"/>
    <n v="70000"/>
    <n v="560000"/>
  </r>
  <r>
    <x v="9"/>
    <x v="4"/>
    <x v="0"/>
    <s v="Desktop"/>
    <n v="12"/>
    <n v="50000"/>
    <n v="600000"/>
  </r>
  <r>
    <x v="10"/>
    <x v="5"/>
    <x v="1"/>
    <s v="Tablet"/>
    <n v="9"/>
    <n v="20000"/>
    <n v="180000"/>
  </r>
  <r>
    <x v="11"/>
    <x v="1"/>
    <x v="2"/>
    <s v="Smartphone"/>
    <n v="5"/>
    <n v="30000"/>
    <n v="150000"/>
  </r>
  <r>
    <x v="12"/>
    <x v="2"/>
    <x v="3"/>
    <s v="Laptop"/>
    <n v="11"/>
    <n v="70000"/>
    <n v="770000"/>
  </r>
  <r>
    <x v="13"/>
    <x v="3"/>
    <x v="4"/>
    <s v="Desktop"/>
    <n v="7"/>
    <n v="50000"/>
    <n v="350000"/>
  </r>
  <r>
    <x v="14"/>
    <x v="4"/>
    <x v="5"/>
    <s v="Tablet"/>
    <n v="6"/>
    <n v="20000"/>
    <n v="120000"/>
  </r>
  <r>
    <x v="15"/>
    <x v="5"/>
    <x v="2"/>
    <s v="Smartphone"/>
    <n v="13"/>
    <n v="30000"/>
    <n v="390000"/>
  </r>
  <r>
    <x v="16"/>
    <x v="0"/>
    <x v="3"/>
    <s v="Laptop"/>
    <n v="9"/>
    <n v="70000"/>
    <n v="630000"/>
  </r>
  <r>
    <x v="17"/>
    <x v="2"/>
    <x v="4"/>
    <s v="Desktop"/>
    <n v="8"/>
    <n v="50000"/>
    <n v="400000"/>
  </r>
  <r>
    <x v="18"/>
    <x v="3"/>
    <x v="5"/>
    <s v="Tablet"/>
    <n v="14"/>
    <n v="20000"/>
    <n v="280000"/>
  </r>
  <r>
    <x v="19"/>
    <x v="4"/>
    <x v="2"/>
    <s v="Smartphone"/>
    <n v="7"/>
    <n v="30000"/>
    <n v="210000"/>
  </r>
  <r>
    <x v="20"/>
    <x v="5"/>
    <x v="3"/>
    <s v="Laptop"/>
    <n v="10"/>
    <n v="70000"/>
    <n v="700000"/>
  </r>
  <r>
    <x v="21"/>
    <x v="1"/>
    <x v="0"/>
    <s v="Desktop"/>
    <n v="5"/>
    <n v="50000"/>
    <n v="250000"/>
  </r>
  <r>
    <x v="22"/>
    <x v="0"/>
    <x v="1"/>
    <s v="Tablet"/>
    <n v="8"/>
    <n v="20000"/>
    <n v="160000"/>
  </r>
  <r>
    <x v="23"/>
    <x v="3"/>
    <x v="2"/>
    <s v="Smartphone"/>
    <n v="6"/>
    <n v="30000"/>
    <n v="180000"/>
  </r>
  <r>
    <x v="24"/>
    <x v="4"/>
    <x v="3"/>
    <s v="Laptop"/>
    <n v="7"/>
    <n v="70000"/>
    <n v="490000"/>
  </r>
  <r>
    <x v="25"/>
    <x v="5"/>
    <x v="4"/>
    <s v="Laptop"/>
    <n v="8"/>
    <n v="70000"/>
    <n v="560000"/>
  </r>
  <r>
    <x v="26"/>
    <x v="1"/>
    <x v="5"/>
    <s v="Desktop"/>
    <n v="6"/>
    <n v="50000"/>
    <n v="300000"/>
  </r>
  <r>
    <x v="27"/>
    <x v="2"/>
    <x v="2"/>
    <s v="Tablet"/>
    <n v="10"/>
    <n v="20000"/>
    <n v="200000"/>
  </r>
  <r>
    <x v="28"/>
    <x v="3"/>
    <x v="0"/>
    <s v="Smartphone"/>
    <n v="20"/>
    <n v="30000"/>
    <n v="600000"/>
  </r>
  <r>
    <x v="29"/>
    <x v="0"/>
    <x v="4"/>
    <s v="Laptop"/>
    <n v="4"/>
    <n v="70000"/>
    <n v="280000"/>
  </r>
  <r>
    <x v="30"/>
    <x v="5"/>
    <x v="5"/>
    <s v="Desktop"/>
    <n v="9"/>
    <n v="50000"/>
    <n v="450000"/>
  </r>
  <r>
    <x v="31"/>
    <x v="1"/>
    <x v="4"/>
    <s v="Tablet"/>
    <n v="5"/>
    <n v="20000"/>
    <n v="100000"/>
  </r>
  <r>
    <x v="32"/>
    <x v="0"/>
    <x v="5"/>
    <s v="Smartphone"/>
    <n v="15"/>
    <n v="30000"/>
    <n v="450000"/>
  </r>
  <r>
    <x v="33"/>
    <x v="3"/>
    <x v="2"/>
    <s v="Laptop"/>
    <n v="7"/>
    <n v="70000"/>
    <n v="490000"/>
  </r>
  <r>
    <x v="34"/>
    <x v="4"/>
    <x v="3"/>
    <s v="Desktop"/>
    <n v="11"/>
    <n v="50000"/>
    <n v="550000"/>
  </r>
  <r>
    <x v="35"/>
    <x v="5"/>
    <x v="0"/>
    <s v="Tablet"/>
    <n v="12"/>
    <n v="20000"/>
    <n v="240000"/>
  </r>
  <r>
    <x v="36"/>
    <x v="1"/>
    <x v="0"/>
    <s v="Smartphone"/>
    <n v="10"/>
    <n v="30000"/>
    <n v="300000"/>
  </r>
  <r>
    <x v="37"/>
    <x v="2"/>
    <x v="1"/>
    <s v="Laptop"/>
    <n v="9"/>
    <n v="70000"/>
    <n v="630000"/>
  </r>
  <r>
    <x v="38"/>
    <x v="3"/>
    <x v="2"/>
    <s v="Desktop"/>
    <n v="8"/>
    <n v="50000"/>
    <n v="400000"/>
  </r>
  <r>
    <x v="39"/>
    <x v="4"/>
    <x v="3"/>
    <s v="Tablet"/>
    <n v="11"/>
    <n v="20000"/>
    <n v="220000"/>
  </r>
  <r>
    <x v="40"/>
    <x v="0"/>
    <x v="4"/>
    <s v="Smartphone"/>
    <n v="14"/>
    <n v="30000"/>
    <n v="420000"/>
  </r>
  <r>
    <x v="41"/>
    <x v="1"/>
    <x v="5"/>
    <s v="Laptop"/>
    <n v="10"/>
    <n v="70000"/>
    <n v="700000"/>
  </r>
  <r>
    <x v="42"/>
    <x v="2"/>
    <x v="2"/>
    <s v="Desktop"/>
    <n v="9"/>
    <n v="50000"/>
    <n v="450000"/>
  </r>
  <r>
    <x v="43"/>
    <x v="3"/>
    <x v="3"/>
    <s v="Tablet"/>
    <n v="13"/>
    <n v="20000"/>
    <n v="260000"/>
  </r>
  <r>
    <x v="44"/>
    <x v="4"/>
    <x v="4"/>
    <s v="Smartphone"/>
    <n v="8"/>
    <n v="30000"/>
    <n v="240000"/>
  </r>
  <r>
    <x v="45"/>
    <x v="5"/>
    <x v="5"/>
    <s v="Laptop"/>
    <n v="12"/>
    <n v="70000"/>
    <n v="840000"/>
  </r>
  <r>
    <x v="46"/>
    <x v="1"/>
    <x v="2"/>
    <s v="Desktop"/>
    <n v="7"/>
    <n v="50000"/>
    <n v="350000"/>
  </r>
  <r>
    <x v="47"/>
    <x v="2"/>
    <x v="3"/>
    <s v="Tablet"/>
    <n v="9"/>
    <n v="20000"/>
    <n v="180000"/>
  </r>
  <r>
    <x v="48"/>
    <x v="0"/>
    <x v="0"/>
    <s v="Smartphone"/>
    <n v="12"/>
    <n v="30000"/>
    <n v="360000"/>
  </r>
  <r>
    <x v="49"/>
    <x v="4"/>
    <x v="1"/>
    <s v="Laptop"/>
    <n v="5"/>
    <n v="70000"/>
    <n v="350000"/>
  </r>
  <r>
    <x v="50"/>
    <x v="5"/>
    <x v="0"/>
    <s v="Laptop"/>
    <n v="12"/>
    <n v="70000"/>
    <n v="840000"/>
  </r>
  <r>
    <x v="51"/>
    <x v="1"/>
    <x v="0"/>
    <s v="Desktop"/>
    <n v="8"/>
    <n v="50000"/>
    <n v="400000"/>
  </r>
  <r>
    <x v="52"/>
    <x v="2"/>
    <x v="4"/>
    <s v="Tablet"/>
    <n v="7"/>
    <n v="20000"/>
    <n v="140000"/>
  </r>
  <r>
    <x v="53"/>
    <x v="3"/>
    <x v="5"/>
    <s v="Smartphone"/>
    <n v="9"/>
    <n v="30000"/>
    <n v="270000"/>
  </r>
  <r>
    <x v="54"/>
    <x v="4"/>
    <x v="4"/>
    <s v="Laptop"/>
    <n v="6"/>
    <n v="70000"/>
    <n v="420000"/>
  </r>
  <r>
    <x v="55"/>
    <x v="0"/>
    <x v="5"/>
    <s v="Desktop"/>
    <n v="10"/>
    <n v="50000"/>
    <n v="500000"/>
  </r>
  <r>
    <x v="56"/>
    <x v="1"/>
    <x v="2"/>
    <s v="Tablet"/>
    <n v="8"/>
    <n v="20000"/>
    <n v="160000"/>
  </r>
  <r>
    <x v="57"/>
    <x v="0"/>
    <x v="3"/>
    <s v="Smartphone"/>
    <n v="13"/>
    <n v="30000"/>
    <n v="390000"/>
  </r>
  <r>
    <x v="58"/>
    <x v="3"/>
    <x v="0"/>
    <s v="Laptop"/>
    <n v="9"/>
    <n v="70000"/>
    <n v="630000"/>
  </r>
  <r>
    <x v="59"/>
    <x v="4"/>
    <x v="2"/>
    <s v="Desktop"/>
    <n v="5"/>
    <n v="50000"/>
    <n v="250000"/>
  </r>
  <r>
    <x v="60"/>
    <x v="5"/>
    <x v="1"/>
    <s v="Tablet"/>
    <n v="11"/>
    <n v="20000"/>
    <n v="220000"/>
  </r>
  <r>
    <x v="61"/>
    <x v="1"/>
    <x v="2"/>
    <s v="Smartphone"/>
    <n v="14"/>
    <n v="30000"/>
    <n v="420000"/>
  </r>
  <r>
    <x v="62"/>
    <x v="2"/>
    <x v="3"/>
    <s v="Laptop"/>
    <n v="10"/>
    <n v="70000"/>
    <n v="700000"/>
  </r>
  <r>
    <x v="63"/>
    <x v="3"/>
    <x v="4"/>
    <s v="Desktop"/>
    <n v="6"/>
    <n v="50000"/>
    <n v="300000"/>
  </r>
  <r>
    <x v="64"/>
    <x v="0"/>
    <x v="5"/>
    <s v="Tablet"/>
    <n v="8"/>
    <n v="20000"/>
    <n v="160000"/>
  </r>
  <r>
    <x v="65"/>
    <x v="5"/>
    <x v="2"/>
    <s v="Smartphone"/>
    <n v="12"/>
    <n v="30000"/>
    <n v="360000"/>
  </r>
  <r>
    <x v="66"/>
    <x v="1"/>
    <x v="3"/>
    <s v="Laptop"/>
    <n v="9"/>
    <n v="70000"/>
    <n v="630000"/>
  </r>
  <r>
    <x v="67"/>
    <x v="0"/>
    <x v="1"/>
    <s v="Desktop"/>
    <n v="7"/>
    <n v="50000"/>
    <n v="350000"/>
  </r>
  <r>
    <x v="68"/>
    <x v="3"/>
    <x v="2"/>
    <s v="Tablet"/>
    <n v="14"/>
    <n v="20000"/>
    <n v="280000"/>
  </r>
  <r>
    <x v="69"/>
    <x v="4"/>
    <x v="3"/>
    <s v="Smartphone"/>
    <n v="8"/>
    <n v="30000"/>
    <n v="240000"/>
  </r>
  <r>
    <x v="70"/>
    <x v="5"/>
    <x v="4"/>
    <s v="Laptop"/>
    <n v="11"/>
    <n v="70000"/>
    <n v="770000"/>
  </r>
  <r>
    <x v="71"/>
    <x v="0"/>
    <x v="5"/>
    <s v="Desktop"/>
    <n v="5"/>
    <n v="50000"/>
    <n v="250000"/>
  </r>
  <r>
    <x v="72"/>
    <x v="2"/>
    <x v="2"/>
    <s v="Tablet"/>
    <n v="10"/>
    <n v="20000"/>
    <n v="200000"/>
  </r>
  <r>
    <x v="73"/>
    <x v="3"/>
    <x v="3"/>
    <s v="Smartphone"/>
    <n v="9"/>
    <n v="30000"/>
    <n v="270000"/>
  </r>
  <r>
    <x v="74"/>
    <x v="4"/>
    <x v="5"/>
    <s v="Laptop"/>
    <n v="10"/>
    <n v="70000"/>
    <n v="700000"/>
  </r>
  <r>
    <x v="75"/>
    <x v="0"/>
    <x v="3"/>
    <s v="Smartphone"/>
    <n v="5"/>
    <n v="30000"/>
    <n v="15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s v="Barishal"/>
    <x v="0"/>
    <s v="Laptop"/>
    <n v="5"/>
    <n v="70000"/>
    <n v="350000"/>
  </r>
  <r>
    <x v="1"/>
    <s v="Chittagong"/>
    <x v="1"/>
    <s v="Desktop"/>
    <n v="10"/>
    <n v="50000"/>
    <n v="500000"/>
  </r>
  <r>
    <x v="2"/>
    <s v="Khulna"/>
    <x v="2"/>
    <s v="Tablet"/>
    <n v="7"/>
    <n v="20000"/>
    <n v="140000"/>
  </r>
  <r>
    <x v="3"/>
    <s v="Rajshahi"/>
    <x v="3"/>
    <s v="Smartphone"/>
    <n v="15"/>
    <n v="30000"/>
    <n v="450000"/>
  </r>
  <r>
    <x v="4"/>
    <s v="Sylhet"/>
    <x v="4"/>
    <s v="Laptop"/>
    <n v="3"/>
    <n v="70000"/>
    <n v="210000"/>
  </r>
  <r>
    <x v="5"/>
    <s v="Dhaka"/>
    <x v="5"/>
    <s v="Desktop"/>
    <n v="6"/>
    <n v="50000"/>
    <n v="300000"/>
  </r>
  <r>
    <x v="6"/>
    <s v="Chittagong"/>
    <x v="2"/>
    <s v="Tablet"/>
    <n v="4"/>
    <n v="20000"/>
    <n v="80000"/>
  </r>
  <r>
    <x v="7"/>
    <s v="Khulna"/>
    <x v="3"/>
    <s v="Smartphone"/>
    <n v="10"/>
    <n v="30000"/>
    <n v="300000"/>
  </r>
  <r>
    <x v="8"/>
    <s v="Barishal"/>
    <x v="0"/>
    <s v="Laptop"/>
    <n v="8"/>
    <n v="70000"/>
    <n v="560000"/>
  </r>
  <r>
    <x v="9"/>
    <s v="Sylhet"/>
    <x v="0"/>
    <s v="Desktop"/>
    <n v="12"/>
    <n v="50000"/>
    <n v="600000"/>
  </r>
  <r>
    <x v="10"/>
    <s v="Dhaka"/>
    <x v="1"/>
    <s v="Tablet"/>
    <n v="9"/>
    <n v="20000"/>
    <n v="180000"/>
  </r>
  <r>
    <x v="11"/>
    <s v="Chittagong"/>
    <x v="2"/>
    <s v="Smartphone"/>
    <n v="5"/>
    <n v="30000"/>
    <n v="150000"/>
  </r>
  <r>
    <x v="12"/>
    <s v="Khulna"/>
    <x v="3"/>
    <s v="Laptop"/>
    <n v="11"/>
    <n v="70000"/>
    <n v="770000"/>
  </r>
  <r>
    <x v="13"/>
    <s v="Rajshahi"/>
    <x v="4"/>
    <s v="Desktop"/>
    <n v="7"/>
    <n v="50000"/>
    <n v="350000"/>
  </r>
  <r>
    <x v="14"/>
    <s v="Sylhet"/>
    <x v="5"/>
    <s v="Tablet"/>
    <n v="6"/>
    <n v="20000"/>
    <n v="120000"/>
  </r>
  <r>
    <x v="15"/>
    <s v="Dhaka"/>
    <x v="2"/>
    <s v="Smartphone"/>
    <n v="13"/>
    <n v="30000"/>
    <n v="390000"/>
  </r>
  <r>
    <x v="16"/>
    <s v="Barishal"/>
    <x v="3"/>
    <s v="Laptop"/>
    <n v="9"/>
    <n v="70000"/>
    <n v="630000"/>
  </r>
  <r>
    <x v="17"/>
    <s v="Khulna"/>
    <x v="4"/>
    <s v="Desktop"/>
    <n v="8"/>
    <n v="50000"/>
    <n v="400000"/>
  </r>
  <r>
    <x v="18"/>
    <s v="Rajshahi"/>
    <x v="5"/>
    <s v="Tablet"/>
    <n v="14"/>
    <n v="20000"/>
    <n v="280000"/>
  </r>
  <r>
    <x v="19"/>
    <s v="Sylhet"/>
    <x v="2"/>
    <s v="Smartphone"/>
    <n v="7"/>
    <n v="30000"/>
    <n v="210000"/>
  </r>
  <r>
    <x v="20"/>
    <s v="Dhaka"/>
    <x v="3"/>
    <s v="Laptop"/>
    <n v="10"/>
    <n v="70000"/>
    <n v="700000"/>
  </r>
  <r>
    <x v="21"/>
    <s v="Chittagong"/>
    <x v="0"/>
    <s v="Desktop"/>
    <n v="5"/>
    <n v="50000"/>
    <n v="250000"/>
  </r>
  <r>
    <x v="22"/>
    <s v="Barishal"/>
    <x v="1"/>
    <s v="Tablet"/>
    <n v="8"/>
    <n v="20000"/>
    <n v="160000"/>
  </r>
  <r>
    <x v="23"/>
    <s v="Rajshahi"/>
    <x v="2"/>
    <s v="Smartphone"/>
    <n v="6"/>
    <n v="30000"/>
    <n v="180000"/>
  </r>
  <r>
    <x v="24"/>
    <s v="Sylhet"/>
    <x v="3"/>
    <s v="Laptop"/>
    <n v="7"/>
    <n v="70000"/>
    <n v="490000"/>
  </r>
  <r>
    <x v="25"/>
    <s v="Dhaka"/>
    <x v="4"/>
    <s v="Laptop"/>
    <n v="8"/>
    <n v="70000"/>
    <n v="560000"/>
  </r>
  <r>
    <x v="26"/>
    <s v="Chittagong"/>
    <x v="5"/>
    <s v="Desktop"/>
    <n v="6"/>
    <n v="50000"/>
    <n v="300000"/>
  </r>
  <r>
    <x v="27"/>
    <s v="Khulna"/>
    <x v="2"/>
    <s v="Tablet"/>
    <n v="10"/>
    <n v="20000"/>
    <n v="200000"/>
  </r>
  <r>
    <x v="28"/>
    <s v="Rajshahi"/>
    <x v="0"/>
    <s v="Smartphone"/>
    <n v="20"/>
    <n v="30000"/>
    <n v="600000"/>
  </r>
  <r>
    <x v="29"/>
    <s v="Barishal"/>
    <x v="4"/>
    <s v="Laptop"/>
    <n v="4"/>
    <n v="70000"/>
    <n v="280000"/>
  </r>
  <r>
    <x v="30"/>
    <s v="Dhaka"/>
    <x v="5"/>
    <s v="Desktop"/>
    <n v="9"/>
    <n v="50000"/>
    <n v="450000"/>
  </r>
  <r>
    <x v="31"/>
    <s v="Chittagong"/>
    <x v="4"/>
    <s v="Tablet"/>
    <n v="5"/>
    <n v="20000"/>
    <n v="100000"/>
  </r>
  <r>
    <x v="32"/>
    <s v="Barishal"/>
    <x v="5"/>
    <s v="Smartphone"/>
    <n v="15"/>
    <n v="30000"/>
    <n v="450000"/>
  </r>
  <r>
    <x v="33"/>
    <s v="Rajshahi"/>
    <x v="2"/>
    <s v="Laptop"/>
    <n v="7"/>
    <n v="70000"/>
    <n v="490000"/>
  </r>
  <r>
    <x v="34"/>
    <s v="Sylhet"/>
    <x v="3"/>
    <s v="Desktop"/>
    <n v="11"/>
    <n v="50000"/>
    <n v="550000"/>
  </r>
  <r>
    <x v="35"/>
    <s v="Dhaka"/>
    <x v="0"/>
    <s v="Tablet"/>
    <n v="12"/>
    <n v="20000"/>
    <n v="240000"/>
  </r>
  <r>
    <x v="36"/>
    <s v="Chittagong"/>
    <x v="0"/>
    <s v="Smartphone"/>
    <n v="10"/>
    <n v="30000"/>
    <n v="300000"/>
  </r>
  <r>
    <x v="37"/>
    <s v="Khulna"/>
    <x v="1"/>
    <s v="Laptop"/>
    <n v="9"/>
    <n v="70000"/>
    <n v="630000"/>
  </r>
  <r>
    <x v="38"/>
    <s v="Rajshahi"/>
    <x v="2"/>
    <s v="Desktop"/>
    <n v="8"/>
    <n v="50000"/>
    <n v="400000"/>
  </r>
  <r>
    <x v="39"/>
    <s v="Sylhet"/>
    <x v="3"/>
    <s v="Tablet"/>
    <n v="11"/>
    <n v="20000"/>
    <n v="220000"/>
  </r>
  <r>
    <x v="40"/>
    <s v="Barishal"/>
    <x v="4"/>
    <s v="Smartphone"/>
    <n v="14"/>
    <n v="30000"/>
    <n v="420000"/>
  </r>
  <r>
    <x v="41"/>
    <s v="Chittagong"/>
    <x v="5"/>
    <s v="Laptop"/>
    <n v="10"/>
    <n v="70000"/>
    <n v="700000"/>
  </r>
  <r>
    <x v="42"/>
    <s v="Khulna"/>
    <x v="2"/>
    <s v="Desktop"/>
    <n v="9"/>
    <n v="50000"/>
    <n v="450000"/>
  </r>
  <r>
    <x v="43"/>
    <s v="Rajshahi"/>
    <x v="3"/>
    <s v="Tablet"/>
    <n v="13"/>
    <n v="20000"/>
    <n v="260000"/>
  </r>
  <r>
    <x v="44"/>
    <s v="Sylhet"/>
    <x v="4"/>
    <s v="Smartphone"/>
    <n v="8"/>
    <n v="30000"/>
    <n v="240000"/>
  </r>
  <r>
    <x v="45"/>
    <s v="Dhaka"/>
    <x v="5"/>
    <s v="Laptop"/>
    <n v="12"/>
    <n v="70000"/>
    <n v="840000"/>
  </r>
  <r>
    <x v="46"/>
    <s v="Chittagong"/>
    <x v="2"/>
    <s v="Desktop"/>
    <n v="7"/>
    <n v="50000"/>
    <n v="350000"/>
  </r>
  <r>
    <x v="47"/>
    <s v="Khulna"/>
    <x v="3"/>
    <s v="Tablet"/>
    <n v="9"/>
    <n v="20000"/>
    <n v="180000"/>
  </r>
  <r>
    <x v="48"/>
    <s v="Barishal"/>
    <x v="0"/>
    <s v="Smartphone"/>
    <n v="12"/>
    <n v="30000"/>
    <n v="360000"/>
  </r>
  <r>
    <x v="49"/>
    <s v="Sylhet"/>
    <x v="1"/>
    <s v="Laptop"/>
    <n v="5"/>
    <n v="70000"/>
    <n v="350000"/>
  </r>
  <r>
    <x v="50"/>
    <s v="Dhaka"/>
    <x v="0"/>
    <s v="Laptop"/>
    <n v="12"/>
    <n v="70000"/>
    <n v="840000"/>
  </r>
  <r>
    <x v="51"/>
    <s v="Chittagong"/>
    <x v="0"/>
    <s v="Desktop"/>
    <n v="8"/>
    <n v="50000"/>
    <n v="400000"/>
  </r>
  <r>
    <x v="52"/>
    <s v="Khulna"/>
    <x v="4"/>
    <s v="Tablet"/>
    <n v="7"/>
    <n v="20000"/>
    <n v="140000"/>
  </r>
  <r>
    <x v="53"/>
    <s v="Rajshahi"/>
    <x v="5"/>
    <s v="Smartphone"/>
    <n v="9"/>
    <n v="30000"/>
    <n v="270000"/>
  </r>
  <r>
    <x v="54"/>
    <s v="Sylhet"/>
    <x v="4"/>
    <s v="Laptop"/>
    <n v="6"/>
    <n v="70000"/>
    <n v="420000"/>
  </r>
  <r>
    <x v="55"/>
    <s v="Barishal"/>
    <x v="5"/>
    <s v="Desktop"/>
    <n v="10"/>
    <n v="50000"/>
    <n v="500000"/>
  </r>
  <r>
    <x v="56"/>
    <s v="Chittagong"/>
    <x v="2"/>
    <s v="Tablet"/>
    <n v="8"/>
    <n v="20000"/>
    <n v="160000"/>
  </r>
  <r>
    <x v="57"/>
    <s v="Barishal"/>
    <x v="3"/>
    <s v="Smartphone"/>
    <n v="13"/>
    <n v="30000"/>
    <n v="390000"/>
  </r>
  <r>
    <x v="58"/>
    <s v="Rajshahi"/>
    <x v="0"/>
    <s v="Laptop"/>
    <n v="9"/>
    <n v="70000"/>
    <n v="630000"/>
  </r>
  <r>
    <x v="59"/>
    <s v="Sylhet"/>
    <x v="2"/>
    <s v="Desktop"/>
    <n v="5"/>
    <n v="50000"/>
    <n v="250000"/>
  </r>
  <r>
    <x v="60"/>
    <s v="Dhaka"/>
    <x v="1"/>
    <s v="Tablet"/>
    <n v="11"/>
    <n v="20000"/>
    <n v="220000"/>
  </r>
  <r>
    <x v="61"/>
    <s v="Chittagong"/>
    <x v="2"/>
    <s v="Smartphone"/>
    <n v="14"/>
    <n v="30000"/>
    <n v="420000"/>
  </r>
  <r>
    <x v="62"/>
    <s v="Khulna"/>
    <x v="3"/>
    <s v="Laptop"/>
    <n v="10"/>
    <n v="70000"/>
    <n v="700000"/>
  </r>
  <r>
    <x v="63"/>
    <s v="Rajshahi"/>
    <x v="4"/>
    <s v="Desktop"/>
    <n v="6"/>
    <n v="50000"/>
    <n v="300000"/>
  </r>
  <r>
    <x v="64"/>
    <s v="Barishal"/>
    <x v="5"/>
    <s v="Tablet"/>
    <n v="8"/>
    <n v="20000"/>
    <n v="160000"/>
  </r>
  <r>
    <x v="65"/>
    <s v="Dhaka"/>
    <x v="2"/>
    <s v="Smartphone"/>
    <n v="12"/>
    <n v="30000"/>
    <n v="360000"/>
  </r>
  <r>
    <x v="66"/>
    <s v="Chittagong"/>
    <x v="3"/>
    <s v="Laptop"/>
    <n v="9"/>
    <n v="70000"/>
    <n v="630000"/>
  </r>
  <r>
    <x v="67"/>
    <s v="Barishal"/>
    <x v="1"/>
    <s v="Desktop"/>
    <n v="7"/>
    <n v="50000"/>
    <n v="350000"/>
  </r>
  <r>
    <x v="68"/>
    <s v="Rajshahi"/>
    <x v="2"/>
    <s v="Tablet"/>
    <n v="14"/>
    <n v="20000"/>
    <n v="280000"/>
  </r>
  <r>
    <x v="69"/>
    <s v="Sylhet"/>
    <x v="3"/>
    <s v="Smartphone"/>
    <n v="8"/>
    <n v="30000"/>
    <n v="240000"/>
  </r>
  <r>
    <x v="70"/>
    <s v="Dhaka"/>
    <x v="4"/>
    <s v="Laptop"/>
    <n v="11"/>
    <n v="70000"/>
    <n v="770000"/>
  </r>
  <r>
    <x v="71"/>
    <s v="Barishal"/>
    <x v="5"/>
    <s v="Desktop"/>
    <n v="5"/>
    <n v="50000"/>
    <n v="250000"/>
  </r>
  <r>
    <x v="72"/>
    <s v="Khulna"/>
    <x v="2"/>
    <s v="Tablet"/>
    <n v="10"/>
    <n v="20000"/>
    <n v="200000"/>
  </r>
  <r>
    <x v="73"/>
    <s v="Rajshahi"/>
    <x v="3"/>
    <s v="Smartphone"/>
    <n v="9"/>
    <n v="30000"/>
    <n v="270000"/>
  </r>
  <r>
    <x v="74"/>
    <s v="Sylhet"/>
    <x v="5"/>
    <s v="Laptop"/>
    <n v="10"/>
    <n v="70000"/>
    <n v="700000"/>
  </r>
  <r>
    <x v="75"/>
    <s v="Barishal"/>
    <x v="3"/>
    <s v="Smartphone"/>
    <n v="5"/>
    <n v="30000"/>
    <n v="1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D46DD-2D91-41CC-9E0F-E4C05F23E7B4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7">
    <pivotField numFmtId="14" showAll="0"/>
    <pivotField axis="axisRow" showAll="0">
      <items count="7">
        <item x="0"/>
        <item x="1"/>
        <item x="5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 (BDT)" fld="6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4B361-39E5-4B44-A55F-945B04FC49DC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7">
    <pivotField showAll="0"/>
    <pivotField showAll="0"/>
    <pivotField showAll="0"/>
    <pivotField axis="axisRow" showAll="0" sortType="ascending">
      <items count="6">
        <item x="1"/>
        <item x="0"/>
        <item x="3"/>
        <item x="2"/>
        <item x="4"/>
        <item t="default"/>
      </items>
    </pivotField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 (BDT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2AAEE-60A2-4131-9113-D131102EEFE7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6" firstHeaderRow="1" firstDataRow="1" firstDataCol="1"/>
  <pivotFields count="9">
    <pivotField axis="axisRow" numFmtId="14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showAll="0">
      <items count="7">
        <item x="0"/>
        <item x="1"/>
        <item x="5"/>
        <item x="2"/>
        <item x="3"/>
        <item x="4"/>
        <item t="default"/>
      </items>
    </pivotField>
    <pivotField axis="axisRow"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4">
    <field x="2"/>
    <field x="8"/>
    <field x="7"/>
    <field x="0"/>
  </rowFields>
  <rowItems count="13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 t="grand">
      <x/>
    </i>
  </rowItems>
  <colItems count="1">
    <i/>
  </colItems>
  <dataFields count="1">
    <dataField name="Sum of Total Sales (BDT)" fld="6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06EAB-DCB4-4E6D-814A-9C130D34ACC6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28" firstHeaderRow="1" firstDataRow="1" firstDataCol="1"/>
  <pivotFields count="9">
    <pivotField axis="axisRow" numFmtId="14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showAll="0"/>
    <pivotField axis="axisRow"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2"/>
    <field x="8"/>
    <field x="7"/>
    <field x="0"/>
  </rowFields>
  <rowItems count="25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 v="1"/>
    </i>
    <i r="1">
      <x v="2"/>
    </i>
    <i r="1">
      <x v="3"/>
    </i>
    <i>
      <x v="4"/>
    </i>
    <i r="1">
      <x v="1"/>
    </i>
    <i r="1">
      <x v="2"/>
    </i>
    <i r="1">
      <x v="3"/>
    </i>
    <i>
      <x v="5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 Sales (BDT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8FE90-AF40-454C-9D91-ED9DE994BDCC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:D29" firstHeaderRow="1" firstDataRow="1" firstDataCol="1"/>
  <pivotFields count="9">
    <pivotField axis="axisRow" numFmtId="14" showAll="0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showAll="0"/>
    <pivotField axis="axisRow" showAll="0">
      <items count="7">
        <item x="0"/>
        <item x="4"/>
        <item x="5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2"/>
    <field x="8"/>
    <field x="7"/>
    <field x="0"/>
  </rowFields>
  <rowItems count="25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 v="1"/>
    </i>
    <i r="1">
      <x v="2"/>
    </i>
    <i r="1">
      <x v="3"/>
    </i>
    <i>
      <x v="4"/>
    </i>
    <i r="1">
      <x v="1"/>
    </i>
    <i r="1">
      <x v="2"/>
    </i>
    <i r="1">
      <x v="3"/>
    </i>
    <i>
      <x v="5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 Sales (BDT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B143-2F06-4994-A554-E9C98F323430}">
  <dimension ref="A1:G80"/>
  <sheetViews>
    <sheetView workbookViewId="0">
      <selection activeCell="L72" sqref="L72"/>
    </sheetView>
  </sheetViews>
  <sheetFormatPr defaultRowHeight="14.4" x14ac:dyDescent="0.3"/>
  <cols>
    <col min="1" max="1" width="12.33203125" customWidth="1"/>
    <col min="2" max="2" width="10.33203125" customWidth="1"/>
    <col min="3" max="3" width="14.5546875" customWidth="1"/>
    <col min="4" max="4" width="12.6640625" customWidth="1"/>
    <col min="7" max="7" width="14.6640625" customWidth="1"/>
  </cols>
  <sheetData>
    <row r="1" spans="1:7" x14ac:dyDescent="0.3">
      <c r="A1" s="20" t="s">
        <v>0</v>
      </c>
      <c r="B1" s="20"/>
      <c r="C1" s="20"/>
      <c r="D1" s="20"/>
      <c r="E1" s="20"/>
      <c r="F1" s="20"/>
      <c r="G1" s="20"/>
    </row>
    <row r="2" spans="1:7" x14ac:dyDescent="0.3">
      <c r="A2" s="20"/>
      <c r="B2" s="20"/>
      <c r="C2" s="20"/>
      <c r="D2" s="20"/>
      <c r="E2" s="20"/>
      <c r="F2" s="20"/>
      <c r="G2" s="20"/>
    </row>
    <row r="3" spans="1:7" ht="43.2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3">
      <c r="A4" s="2">
        <v>45296</v>
      </c>
      <c r="B4" s="3" t="s">
        <v>8</v>
      </c>
      <c r="C4" s="3" t="s">
        <v>9</v>
      </c>
      <c r="D4" s="3" t="s">
        <v>10</v>
      </c>
      <c r="E4" s="3">
        <v>5</v>
      </c>
      <c r="F4" s="3">
        <v>70000</v>
      </c>
      <c r="G4" s="3">
        <f>E4*F4</f>
        <v>350000</v>
      </c>
    </row>
    <row r="5" spans="1:7" x14ac:dyDescent="0.3">
      <c r="A5" s="2">
        <v>45297</v>
      </c>
      <c r="B5" s="3" t="s">
        <v>11</v>
      </c>
      <c r="C5" s="3" t="s">
        <v>12</v>
      </c>
      <c r="D5" s="3" t="s">
        <v>13</v>
      </c>
      <c r="E5" s="3">
        <v>10</v>
      </c>
      <c r="F5" s="3">
        <v>50000</v>
      </c>
      <c r="G5" s="3">
        <f t="shared" ref="G5:G68" si="0">E5*F5</f>
        <v>500000</v>
      </c>
    </row>
    <row r="6" spans="1:7" x14ac:dyDescent="0.3">
      <c r="A6" s="2">
        <v>45298</v>
      </c>
      <c r="B6" s="3" t="s">
        <v>14</v>
      </c>
      <c r="C6" s="3" t="s">
        <v>15</v>
      </c>
      <c r="D6" s="3" t="s">
        <v>16</v>
      </c>
      <c r="E6" s="3">
        <v>7</v>
      </c>
      <c r="F6" s="3">
        <v>20000</v>
      </c>
      <c r="G6" s="3">
        <f t="shared" si="0"/>
        <v>140000</v>
      </c>
    </row>
    <row r="7" spans="1:7" x14ac:dyDescent="0.3">
      <c r="A7" s="2">
        <v>45299</v>
      </c>
      <c r="B7" s="3" t="s">
        <v>17</v>
      </c>
      <c r="C7" s="3" t="s">
        <v>18</v>
      </c>
      <c r="D7" s="3" t="s">
        <v>19</v>
      </c>
      <c r="E7" s="3">
        <v>15</v>
      </c>
      <c r="F7" s="3">
        <v>30000</v>
      </c>
      <c r="G7" s="3">
        <f t="shared" si="0"/>
        <v>450000</v>
      </c>
    </row>
    <row r="8" spans="1:7" x14ac:dyDescent="0.3">
      <c r="A8" s="2">
        <v>45300</v>
      </c>
      <c r="B8" s="3" t="s">
        <v>20</v>
      </c>
      <c r="C8" s="3" t="s">
        <v>21</v>
      </c>
      <c r="D8" s="3" t="s">
        <v>10</v>
      </c>
      <c r="E8" s="3">
        <v>3</v>
      </c>
      <c r="F8" s="3">
        <v>70000</v>
      </c>
      <c r="G8" s="3">
        <f t="shared" si="0"/>
        <v>210000</v>
      </c>
    </row>
    <row r="9" spans="1:7" x14ac:dyDescent="0.3">
      <c r="A9" s="2">
        <v>45301</v>
      </c>
      <c r="B9" s="3" t="s">
        <v>22</v>
      </c>
      <c r="C9" s="3" t="s">
        <v>23</v>
      </c>
      <c r="D9" s="3" t="s">
        <v>13</v>
      </c>
      <c r="E9" s="3">
        <v>6</v>
      </c>
      <c r="F9" s="3">
        <v>50000</v>
      </c>
      <c r="G9" s="3">
        <f t="shared" si="0"/>
        <v>300000</v>
      </c>
    </row>
    <row r="10" spans="1:7" x14ac:dyDescent="0.3">
      <c r="A10" s="2">
        <v>45302</v>
      </c>
      <c r="B10" s="3" t="s">
        <v>11</v>
      </c>
      <c r="C10" s="3" t="s">
        <v>15</v>
      </c>
      <c r="D10" s="3" t="s">
        <v>16</v>
      </c>
      <c r="E10" s="3">
        <v>4</v>
      </c>
      <c r="F10" s="3">
        <v>20000</v>
      </c>
      <c r="G10" s="3">
        <f t="shared" si="0"/>
        <v>80000</v>
      </c>
    </row>
    <row r="11" spans="1:7" x14ac:dyDescent="0.3">
      <c r="A11" s="2">
        <v>45303</v>
      </c>
      <c r="B11" s="3" t="s">
        <v>14</v>
      </c>
      <c r="C11" s="3" t="s">
        <v>18</v>
      </c>
      <c r="D11" s="3" t="s">
        <v>19</v>
      </c>
      <c r="E11" s="3">
        <v>10</v>
      </c>
      <c r="F11" s="3">
        <v>30000</v>
      </c>
      <c r="G11" s="3">
        <f t="shared" si="0"/>
        <v>300000</v>
      </c>
    </row>
    <row r="12" spans="1:7" x14ac:dyDescent="0.3">
      <c r="A12" s="2">
        <v>45304</v>
      </c>
      <c r="B12" s="3" t="s">
        <v>8</v>
      </c>
      <c r="C12" s="3" t="s">
        <v>9</v>
      </c>
      <c r="D12" s="3" t="s">
        <v>10</v>
      </c>
      <c r="E12" s="3">
        <v>8</v>
      </c>
      <c r="F12" s="3">
        <v>70000</v>
      </c>
      <c r="G12" s="3">
        <f t="shared" si="0"/>
        <v>560000</v>
      </c>
    </row>
    <row r="13" spans="1:7" x14ac:dyDescent="0.3">
      <c r="A13" s="2">
        <v>45305</v>
      </c>
      <c r="B13" s="3" t="s">
        <v>20</v>
      </c>
      <c r="C13" s="3" t="s">
        <v>9</v>
      </c>
      <c r="D13" s="3" t="s">
        <v>13</v>
      </c>
      <c r="E13" s="3">
        <v>12</v>
      </c>
      <c r="F13" s="3">
        <v>50000</v>
      </c>
      <c r="G13" s="3">
        <f t="shared" si="0"/>
        <v>600000</v>
      </c>
    </row>
    <row r="14" spans="1:7" x14ac:dyDescent="0.3">
      <c r="A14" s="2">
        <v>45306</v>
      </c>
      <c r="B14" s="3" t="s">
        <v>22</v>
      </c>
      <c r="C14" s="3" t="s">
        <v>12</v>
      </c>
      <c r="D14" s="3" t="s">
        <v>16</v>
      </c>
      <c r="E14" s="3">
        <v>9</v>
      </c>
      <c r="F14" s="3">
        <v>20000</v>
      </c>
      <c r="G14" s="3">
        <f t="shared" si="0"/>
        <v>180000</v>
      </c>
    </row>
    <row r="15" spans="1:7" x14ac:dyDescent="0.3">
      <c r="A15" s="2">
        <v>45307</v>
      </c>
      <c r="B15" s="3" t="s">
        <v>11</v>
      </c>
      <c r="C15" s="3" t="s">
        <v>15</v>
      </c>
      <c r="D15" s="3" t="s">
        <v>19</v>
      </c>
      <c r="E15" s="3">
        <v>5</v>
      </c>
      <c r="F15" s="3">
        <v>30000</v>
      </c>
      <c r="G15" s="3">
        <f t="shared" si="0"/>
        <v>150000</v>
      </c>
    </row>
    <row r="16" spans="1:7" x14ac:dyDescent="0.3">
      <c r="A16" s="2">
        <v>45308</v>
      </c>
      <c r="B16" s="3" t="s">
        <v>14</v>
      </c>
      <c r="C16" s="3" t="s">
        <v>18</v>
      </c>
      <c r="D16" s="3" t="s">
        <v>10</v>
      </c>
      <c r="E16" s="3">
        <v>11</v>
      </c>
      <c r="F16" s="3">
        <v>70000</v>
      </c>
      <c r="G16" s="3">
        <f t="shared" si="0"/>
        <v>770000</v>
      </c>
    </row>
    <row r="17" spans="1:7" x14ac:dyDescent="0.3">
      <c r="A17" s="2">
        <v>45309</v>
      </c>
      <c r="B17" s="3" t="s">
        <v>17</v>
      </c>
      <c r="C17" s="3" t="s">
        <v>21</v>
      </c>
      <c r="D17" s="3" t="s">
        <v>13</v>
      </c>
      <c r="E17" s="3">
        <v>7</v>
      </c>
      <c r="F17" s="3">
        <v>50000</v>
      </c>
      <c r="G17" s="3">
        <f t="shared" si="0"/>
        <v>350000</v>
      </c>
    </row>
    <row r="18" spans="1:7" x14ac:dyDescent="0.3">
      <c r="A18" s="2">
        <v>45310</v>
      </c>
      <c r="B18" s="3" t="s">
        <v>20</v>
      </c>
      <c r="C18" s="3" t="s">
        <v>23</v>
      </c>
      <c r="D18" s="3" t="s">
        <v>16</v>
      </c>
      <c r="E18" s="3">
        <v>6</v>
      </c>
      <c r="F18" s="3">
        <v>20000</v>
      </c>
      <c r="G18" s="3">
        <f t="shared" si="0"/>
        <v>120000</v>
      </c>
    </row>
    <row r="19" spans="1:7" x14ac:dyDescent="0.3">
      <c r="A19" s="2">
        <v>45311</v>
      </c>
      <c r="B19" s="3" t="s">
        <v>22</v>
      </c>
      <c r="C19" s="3" t="s">
        <v>15</v>
      </c>
      <c r="D19" s="3" t="s">
        <v>19</v>
      </c>
      <c r="E19" s="3">
        <v>13</v>
      </c>
      <c r="F19" s="3">
        <v>30000</v>
      </c>
      <c r="G19" s="3">
        <f t="shared" si="0"/>
        <v>390000</v>
      </c>
    </row>
    <row r="20" spans="1:7" x14ac:dyDescent="0.3">
      <c r="A20" s="2">
        <v>45312</v>
      </c>
      <c r="B20" s="3" t="s">
        <v>8</v>
      </c>
      <c r="C20" s="3" t="s">
        <v>18</v>
      </c>
      <c r="D20" s="3" t="s">
        <v>10</v>
      </c>
      <c r="E20" s="3">
        <v>9</v>
      </c>
      <c r="F20" s="3">
        <v>70000</v>
      </c>
      <c r="G20" s="3">
        <f t="shared" si="0"/>
        <v>630000</v>
      </c>
    </row>
    <row r="21" spans="1:7" x14ac:dyDescent="0.3">
      <c r="A21" s="2">
        <v>45313</v>
      </c>
      <c r="B21" s="3" t="s">
        <v>14</v>
      </c>
      <c r="C21" s="3" t="s">
        <v>21</v>
      </c>
      <c r="D21" s="3" t="s">
        <v>13</v>
      </c>
      <c r="E21" s="3">
        <v>8</v>
      </c>
      <c r="F21" s="3">
        <v>50000</v>
      </c>
      <c r="G21" s="3">
        <f t="shared" si="0"/>
        <v>400000</v>
      </c>
    </row>
    <row r="22" spans="1:7" x14ac:dyDescent="0.3">
      <c r="A22" s="2">
        <v>45314</v>
      </c>
      <c r="B22" s="3" t="s">
        <v>17</v>
      </c>
      <c r="C22" s="3" t="s">
        <v>23</v>
      </c>
      <c r="D22" s="3" t="s">
        <v>16</v>
      </c>
      <c r="E22" s="3">
        <v>14</v>
      </c>
      <c r="F22" s="3">
        <v>20000</v>
      </c>
      <c r="G22" s="3">
        <f t="shared" si="0"/>
        <v>280000</v>
      </c>
    </row>
    <row r="23" spans="1:7" x14ac:dyDescent="0.3">
      <c r="A23" s="2">
        <v>45315</v>
      </c>
      <c r="B23" s="3" t="s">
        <v>20</v>
      </c>
      <c r="C23" s="3" t="s">
        <v>15</v>
      </c>
      <c r="D23" s="3" t="s">
        <v>19</v>
      </c>
      <c r="E23" s="3">
        <v>7</v>
      </c>
      <c r="F23" s="3">
        <v>30000</v>
      </c>
      <c r="G23" s="3">
        <f t="shared" si="0"/>
        <v>210000</v>
      </c>
    </row>
    <row r="24" spans="1:7" x14ac:dyDescent="0.3">
      <c r="A24" s="2">
        <v>45316</v>
      </c>
      <c r="B24" s="3" t="s">
        <v>22</v>
      </c>
      <c r="C24" s="3" t="s">
        <v>18</v>
      </c>
      <c r="D24" s="3" t="s">
        <v>10</v>
      </c>
      <c r="E24" s="3">
        <v>10</v>
      </c>
      <c r="F24" s="3">
        <v>70000</v>
      </c>
      <c r="G24" s="3">
        <f t="shared" si="0"/>
        <v>700000</v>
      </c>
    </row>
    <row r="25" spans="1:7" x14ac:dyDescent="0.3">
      <c r="A25" s="2">
        <v>45317</v>
      </c>
      <c r="B25" s="3" t="s">
        <v>11</v>
      </c>
      <c r="C25" s="3" t="s">
        <v>9</v>
      </c>
      <c r="D25" s="3" t="s">
        <v>13</v>
      </c>
      <c r="E25" s="3">
        <v>5</v>
      </c>
      <c r="F25" s="3">
        <v>50000</v>
      </c>
      <c r="G25" s="3">
        <f t="shared" si="0"/>
        <v>250000</v>
      </c>
    </row>
    <row r="26" spans="1:7" x14ac:dyDescent="0.3">
      <c r="A26" s="2">
        <v>45318</v>
      </c>
      <c r="B26" s="3" t="s">
        <v>8</v>
      </c>
      <c r="C26" s="3" t="s">
        <v>12</v>
      </c>
      <c r="D26" s="3" t="s">
        <v>16</v>
      </c>
      <c r="E26" s="3">
        <v>8</v>
      </c>
      <c r="F26" s="3">
        <v>20000</v>
      </c>
      <c r="G26" s="3">
        <f t="shared" si="0"/>
        <v>160000</v>
      </c>
    </row>
    <row r="27" spans="1:7" x14ac:dyDescent="0.3">
      <c r="A27" s="2">
        <v>45319</v>
      </c>
      <c r="B27" s="3" t="s">
        <v>17</v>
      </c>
      <c r="C27" s="3" t="s">
        <v>15</v>
      </c>
      <c r="D27" s="3" t="s">
        <v>19</v>
      </c>
      <c r="E27" s="3">
        <v>6</v>
      </c>
      <c r="F27" s="3">
        <v>30000</v>
      </c>
      <c r="G27" s="3">
        <f t="shared" si="0"/>
        <v>180000</v>
      </c>
    </row>
    <row r="28" spans="1:7" x14ac:dyDescent="0.3">
      <c r="A28" s="2">
        <v>45320</v>
      </c>
      <c r="B28" s="3" t="s">
        <v>20</v>
      </c>
      <c r="C28" s="3" t="s">
        <v>18</v>
      </c>
      <c r="D28" s="3" t="s">
        <v>10</v>
      </c>
      <c r="E28" s="3">
        <v>7</v>
      </c>
      <c r="F28" s="3">
        <v>70000</v>
      </c>
      <c r="G28" s="3">
        <f t="shared" si="0"/>
        <v>490000</v>
      </c>
    </row>
    <row r="29" spans="1:7" x14ac:dyDescent="0.3">
      <c r="A29" s="2">
        <v>45323</v>
      </c>
      <c r="B29" s="3" t="s">
        <v>22</v>
      </c>
      <c r="C29" s="3" t="s">
        <v>21</v>
      </c>
      <c r="D29" s="3" t="s">
        <v>10</v>
      </c>
      <c r="E29" s="3">
        <v>8</v>
      </c>
      <c r="F29" s="3">
        <v>70000</v>
      </c>
      <c r="G29" s="3">
        <f t="shared" si="0"/>
        <v>560000</v>
      </c>
    </row>
    <row r="30" spans="1:7" x14ac:dyDescent="0.3">
      <c r="A30" s="2">
        <v>45324</v>
      </c>
      <c r="B30" s="3" t="s">
        <v>11</v>
      </c>
      <c r="C30" s="3" t="s">
        <v>23</v>
      </c>
      <c r="D30" s="3" t="s">
        <v>13</v>
      </c>
      <c r="E30" s="3">
        <v>6</v>
      </c>
      <c r="F30" s="3">
        <v>50000</v>
      </c>
      <c r="G30" s="3">
        <f t="shared" si="0"/>
        <v>300000</v>
      </c>
    </row>
    <row r="31" spans="1:7" x14ac:dyDescent="0.3">
      <c r="A31" s="2">
        <v>45325</v>
      </c>
      <c r="B31" s="3" t="s">
        <v>14</v>
      </c>
      <c r="C31" s="3" t="s">
        <v>15</v>
      </c>
      <c r="D31" s="3" t="s">
        <v>16</v>
      </c>
      <c r="E31" s="3">
        <v>10</v>
      </c>
      <c r="F31" s="3">
        <v>20000</v>
      </c>
      <c r="G31" s="3">
        <f t="shared" si="0"/>
        <v>200000</v>
      </c>
    </row>
    <row r="32" spans="1:7" x14ac:dyDescent="0.3">
      <c r="A32" s="2">
        <v>45326</v>
      </c>
      <c r="B32" s="3" t="s">
        <v>17</v>
      </c>
      <c r="C32" s="3" t="s">
        <v>9</v>
      </c>
      <c r="D32" s="3" t="s">
        <v>19</v>
      </c>
      <c r="E32" s="3">
        <v>20</v>
      </c>
      <c r="F32" s="3">
        <v>30000</v>
      </c>
      <c r="G32" s="3">
        <f t="shared" si="0"/>
        <v>600000</v>
      </c>
    </row>
    <row r="33" spans="1:7" x14ac:dyDescent="0.3">
      <c r="A33" s="2">
        <v>45327</v>
      </c>
      <c r="B33" s="3" t="s">
        <v>8</v>
      </c>
      <c r="C33" s="3" t="s">
        <v>21</v>
      </c>
      <c r="D33" s="3" t="s">
        <v>10</v>
      </c>
      <c r="E33" s="3">
        <v>4</v>
      </c>
      <c r="F33" s="3">
        <v>70000</v>
      </c>
      <c r="G33" s="3">
        <f t="shared" si="0"/>
        <v>280000</v>
      </c>
    </row>
    <row r="34" spans="1:7" x14ac:dyDescent="0.3">
      <c r="A34" s="2">
        <v>45328</v>
      </c>
      <c r="B34" s="3" t="s">
        <v>22</v>
      </c>
      <c r="C34" s="3" t="s">
        <v>23</v>
      </c>
      <c r="D34" s="3" t="s">
        <v>13</v>
      </c>
      <c r="E34" s="3">
        <v>9</v>
      </c>
      <c r="F34" s="3">
        <v>50000</v>
      </c>
      <c r="G34" s="3">
        <f t="shared" si="0"/>
        <v>450000</v>
      </c>
    </row>
    <row r="35" spans="1:7" x14ac:dyDescent="0.3">
      <c r="A35" s="2">
        <v>45329</v>
      </c>
      <c r="B35" s="3" t="s">
        <v>11</v>
      </c>
      <c r="C35" s="3" t="s">
        <v>21</v>
      </c>
      <c r="D35" s="3" t="s">
        <v>16</v>
      </c>
      <c r="E35" s="3">
        <v>5</v>
      </c>
      <c r="F35" s="3">
        <v>20000</v>
      </c>
      <c r="G35" s="3">
        <f t="shared" si="0"/>
        <v>100000</v>
      </c>
    </row>
    <row r="36" spans="1:7" x14ac:dyDescent="0.3">
      <c r="A36" s="2">
        <v>45330</v>
      </c>
      <c r="B36" s="3" t="s">
        <v>8</v>
      </c>
      <c r="C36" s="3" t="s">
        <v>23</v>
      </c>
      <c r="D36" s="3" t="s">
        <v>19</v>
      </c>
      <c r="E36" s="3">
        <v>15</v>
      </c>
      <c r="F36" s="3">
        <v>30000</v>
      </c>
      <c r="G36" s="3">
        <f t="shared" si="0"/>
        <v>450000</v>
      </c>
    </row>
    <row r="37" spans="1:7" x14ac:dyDescent="0.3">
      <c r="A37" s="2">
        <v>45331</v>
      </c>
      <c r="B37" s="3" t="s">
        <v>17</v>
      </c>
      <c r="C37" s="3" t="s">
        <v>15</v>
      </c>
      <c r="D37" s="3" t="s">
        <v>10</v>
      </c>
      <c r="E37" s="3">
        <v>7</v>
      </c>
      <c r="F37" s="3">
        <v>70000</v>
      </c>
      <c r="G37" s="3">
        <f t="shared" si="0"/>
        <v>490000</v>
      </c>
    </row>
    <row r="38" spans="1:7" x14ac:dyDescent="0.3">
      <c r="A38" s="2">
        <v>45332</v>
      </c>
      <c r="B38" s="3" t="s">
        <v>20</v>
      </c>
      <c r="C38" s="3" t="s">
        <v>18</v>
      </c>
      <c r="D38" s="3" t="s">
        <v>13</v>
      </c>
      <c r="E38" s="3">
        <v>11</v>
      </c>
      <c r="F38" s="3">
        <v>50000</v>
      </c>
      <c r="G38" s="3">
        <f t="shared" si="0"/>
        <v>550000</v>
      </c>
    </row>
    <row r="39" spans="1:7" x14ac:dyDescent="0.3">
      <c r="A39" s="2">
        <v>45333</v>
      </c>
      <c r="B39" s="3" t="s">
        <v>22</v>
      </c>
      <c r="C39" s="3" t="s">
        <v>9</v>
      </c>
      <c r="D39" s="3" t="s">
        <v>16</v>
      </c>
      <c r="E39" s="3">
        <v>12</v>
      </c>
      <c r="F39" s="3">
        <v>20000</v>
      </c>
      <c r="G39" s="3">
        <f t="shared" si="0"/>
        <v>240000</v>
      </c>
    </row>
    <row r="40" spans="1:7" x14ac:dyDescent="0.3">
      <c r="A40" s="2">
        <v>45334</v>
      </c>
      <c r="B40" s="3" t="s">
        <v>11</v>
      </c>
      <c r="C40" s="3" t="s">
        <v>9</v>
      </c>
      <c r="D40" s="3" t="s">
        <v>19</v>
      </c>
      <c r="E40" s="3">
        <v>10</v>
      </c>
      <c r="F40" s="3">
        <v>30000</v>
      </c>
      <c r="G40" s="3">
        <f t="shared" si="0"/>
        <v>300000</v>
      </c>
    </row>
    <row r="41" spans="1:7" x14ac:dyDescent="0.3">
      <c r="A41" s="2">
        <v>45335</v>
      </c>
      <c r="B41" s="3" t="s">
        <v>14</v>
      </c>
      <c r="C41" s="3" t="s">
        <v>12</v>
      </c>
      <c r="D41" s="3" t="s">
        <v>10</v>
      </c>
      <c r="E41" s="3">
        <v>9</v>
      </c>
      <c r="F41" s="3">
        <v>70000</v>
      </c>
      <c r="G41" s="3">
        <f t="shared" si="0"/>
        <v>630000</v>
      </c>
    </row>
    <row r="42" spans="1:7" x14ac:dyDescent="0.3">
      <c r="A42" s="2">
        <v>45336</v>
      </c>
      <c r="B42" s="3" t="s">
        <v>17</v>
      </c>
      <c r="C42" s="3" t="s">
        <v>15</v>
      </c>
      <c r="D42" s="3" t="s">
        <v>13</v>
      </c>
      <c r="E42" s="3">
        <v>8</v>
      </c>
      <c r="F42" s="3">
        <v>50000</v>
      </c>
      <c r="G42" s="3">
        <f t="shared" si="0"/>
        <v>400000</v>
      </c>
    </row>
    <row r="43" spans="1:7" x14ac:dyDescent="0.3">
      <c r="A43" s="2">
        <v>45337</v>
      </c>
      <c r="B43" s="3" t="s">
        <v>20</v>
      </c>
      <c r="C43" s="3" t="s">
        <v>18</v>
      </c>
      <c r="D43" s="3" t="s">
        <v>16</v>
      </c>
      <c r="E43" s="3">
        <v>11</v>
      </c>
      <c r="F43" s="3">
        <v>20000</v>
      </c>
      <c r="G43" s="3">
        <f t="shared" si="0"/>
        <v>220000</v>
      </c>
    </row>
    <row r="44" spans="1:7" x14ac:dyDescent="0.3">
      <c r="A44" s="2">
        <v>45338</v>
      </c>
      <c r="B44" s="3" t="s">
        <v>8</v>
      </c>
      <c r="C44" s="3" t="s">
        <v>21</v>
      </c>
      <c r="D44" s="3" t="s">
        <v>19</v>
      </c>
      <c r="E44" s="3">
        <v>14</v>
      </c>
      <c r="F44" s="3">
        <v>30000</v>
      </c>
      <c r="G44" s="3">
        <f t="shared" si="0"/>
        <v>420000</v>
      </c>
    </row>
    <row r="45" spans="1:7" x14ac:dyDescent="0.3">
      <c r="A45" s="2">
        <v>45339</v>
      </c>
      <c r="B45" s="3" t="s">
        <v>11</v>
      </c>
      <c r="C45" s="3" t="s">
        <v>23</v>
      </c>
      <c r="D45" s="3" t="s">
        <v>10</v>
      </c>
      <c r="E45" s="3">
        <v>10</v>
      </c>
      <c r="F45" s="3">
        <v>70000</v>
      </c>
      <c r="G45" s="3">
        <f t="shared" si="0"/>
        <v>700000</v>
      </c>
    </row>
    <row r="46" spans="1:7" x14ac:dyDescent="0.3">
      <c r="A46" s="2">
        <v>45340</v>
      </c>
      <c r="B46" s="3" t="s">
        <v>14</v>
      </c>
      <c r="C46" s="3" t="s">
        <v>15</v>
      </c>
      <c r="D46" s="3" t="s">
        <v>13</v>
      </c>
      <c r="E46" s="3">
        <v>9</v>
      </c>
      <c r="F46" s="3">
        <v>50000</v>
      </c>
      <c r="G46" s="3">
        <f t="shared" si="0"/>
        <v>450000</v>
      </c>
    </row>
    <row r="47" spans="1:7" x14ac:dyDescent="0.3">
      <c r="A47" s="2">
        <v>45341</v>
      </c>
      <c r="B47" s="3" t="s">
        <v>17</v>
      </c>
      <c r="C47" s="3" t="s">
        <v>18</v>
      </c>
      <c r="D47" s="3" t="s">
        <v>16</v>
      </c>
      <c r="E47" s="3">
        <v>13</v>
      </c>
      <c r="F47" s="3">
        <v>20000</v>
      </c>
      <c r="G47" s="3">
        <f t="shared" si="0"/>
        <v>260000</v>
      </c>
    </row>
    <row r="48" spans="1:7" x14ac:dyDescent="0.3">
      <c r="A48" s="2">
        <v>45342</v>
      </c>
      <c r="B48" s="3" t="s">
        <v>20</v>
      </c>
      <c r="C48" s="3" t="s">
        <v>21</v>
      </c>
      <c r="D48" s="3" t="s">
        <v>19</v>
      </c>
      <c r="E48" s="3">
        <v>8</v>
      </c>
      <c r="F48" s="3">
        <v>30000</v>
      </c>
      <c r="G48" s="3">
        <f t="shared" si="0"/>
        <v>240000</v>
      </c>
    </row>
    <row r="49" spans="1:7" x14ac:dyDescent="0.3">
      <c r="A49" s="2">
        <v>45343</v>
      </c>
      <c r="B49" s="3" t="s">
        <v>22</v>
      </c>
      <c r="C49" s="3" t="s">
        <v>23</v>
      </c>
      <c r="D49" s="3" t="s">
        <v>10</v>
      </c>
      <c r="E49" s="3">
        <v>12</v>
      </c>
      <c r="F49" s="3">
        <v>70000</v>
      </c>
      <c r="G49" s="3">
        <f t="shared" si="0"/>
        <v>840000</v>
      </c>
    </row>
    <row r="50" spans="1:7" x14ac:dyDescent="0.3">
      <c r="A50" s="2">
        <v>45344</v>
      </c>
      <c r="B50" s="3" t="s">
        <v>11</v>
      </c>
      <c r="C50" s="3" t="s">
        <v>15</v>
      </c>
      <c r="D50" s="3" t="s">
        <v>13</v>
      </c>
      <c r="E50" s="3">
        <v>7</v>
      </c>
      <c r="F50" s="3">
        <v>50000</v>
      </c>
      <c r="G50" s="3">
        <f t="shared" si="0"/>
        <v>350000</v>
      </c>
    </row>
    <row r="51" spans="1:7" x14ac:dyDescent="0.3">
      <c r="A51" s="2">
        <v>45345</v>
      </c>
      <c r="B51" s="3" t="s">
        <v>14</v>
      </c>
      <c r="C51" s="3" t="s">
        <v>18</v>
      </c>
      <c r="D51" s="3" t="s">
        <v>16</v>
      </c>
      <c r="E51" s="3">
        <v>9</v>
      </c>
      <c r="F51" s="3">
        <v>20000</v>
      </c>
      <c r="G51" s="3">
        <f t="shared" si="0"/>
        <v>180000</v>
      </c>
    </row>
    <row r="52" spans="1:7" x14ac:dyDescent="0.3">
      <c r="A52" s="2">
        <v>45346</v>
      </c>
      <c r="B52" s="3" t="s">
        <v>8</v>
      </c>
      <c r="C52" s="3" t="s">
        <v>9</v>
      </c>
      <c r="D52" s="3" t="s">
        <v>19</v>
      </c>
      <c r="E52" s="3">
        <v>12</v>
      </c>
      <c r="F52" s="3">
        <v>30000</v>
      </c>
      <c r="G52" s="3">
        <f t="shared" si="0"/>
        <v>360000</v>
      </c>
    </row>
    <row r="53" spans="1:7" x14ac:dyDescent="0.3">
      <c r="A53" s="2">
        <v>45347</v>
      </c>
      <c r="B53" s="3" t="s">
        <v>20</v>
      </c>
      <c r="C53" s="3" t="s">
        <v>12</v>
      </c>
      <c r="D53" s="3" t="s">
        <v>10</v>
      </c>
      <c r="E53" s="3">
        <v>5</v>
      </c>
      <c r="F53" s="3">
        <v>70000</v>
      </c>
      <c r="G53" s="3">
        <f t="shared" si="0"/>
        <v>350000</v>
      </c>
    </row>
    <row r="54" spans="1:7" x14ac:dyDescent="0.3">
      <c r="A54" s="2">
        <v>45352</v>
      </c>
      <c r="B54" s="3" t="s">
        <v>22</v>
      </c>
      <c r="C54" s="3" t="s">
        <v>9</v>
      </c>
      <c r="D54" s="3" t="s">
        <v>10</v>
      </c>
      <c r="E54" s="3">
        <v>12</v>
      </c>
      <c r="F54" s="3">
        <v>70000</v>
      </c>
      <c r="G54" s="3">
        <f t="shared" si="0"/>
        <v>840000</v>
      </c>
    </row>
    <row r="55" spans="1:7" x14ac:dyDescent="0.3">
      <c r="A55" s="2">
        <v>45353</v>
      </c>
      <c r="B55" s="3" t="s">
        <v>11</v>
      </c>
      <c r="C55" s="3" t="s">
        <v>9</v>
      </c>
      <c r="D55" s="3" t="s">
        <v>13</v>
      </c>
      <c r="E55" s="3">
        <v>8</v>
      </c>
      <c r="F55" s="3">
        <v>50000</v>
      </c>
      <c r="G55" s="3">
        <f t="shared" si="0"/>
        <v>400000</v>
      </c>
    </row>
    <row r="56" spans="1:7" x14ac:dyDescent="0.3">
      <c r="A56" s="2">
        <v>45354</v>
      </c>
      <c r="B56" s="3" t="s">
        <v>14</v>
      </c>
      <c r="C56" s="3" t="s">
        <v>21</v>
      </c>
      <c r="D56" s="3" t="s">
        <v>16</v>
      </c>
      <c r="E56" s="3">
        <v>7</v>
      </c>
      <c r="F56" s="3">
        <v>20000</v>
      </c>
      <c r="G56" s="3">
        <f t="shared" si="0"/>
        <v>140000</v>
      </c>
    </row>
    <row r="57" spans="1:7" x14ac:dyDescent="0.3">
      <c r="A57" s="2">
        <v>45355</v>
      </c>
      <c r="B57" s="3" t="s">
        <v>17</v>
      </c>
      <c r="C57" s="3" t="s">
        <v>23</v>
      </c>
      <c r="D57" s="3" t="s">
        <v>19</v>
      </c>
      <c r="E57" s="3">
        <v>9</v>
      </c>
      <c r="F57" s="3">
        <v>30000</v>
      </c>
      <c r="G57" s="3">
        <f t="shared" si="0"/>
        <v>270000</v>
      </c>
    </row>
    <row r="58" spans="1:7" x14ac:dyDescent="0.3">
      <c r="A58" s="2">
        <v>45356</v>
      </c>
      <c r="B58" s="3" t="s">
        <v>20</v>
      </c>
      <c r="C58" s="3" t="s">
        <v>21</v>
      </c>
      <c r="D58" s="3" t="s">
        <v>10</v>
      </c>
      <c r="E58" s="3">
        <v>6</v>
      </c>
      <c r="F58" s="3">
        <v>70000</v>
      </c>
      <c r="G58" s="3">
        <f t="shared" si="0"/>
        <v>420000</v>
      </c>
    </row>
    <row r="59" spans="1:7" x14ac:dyDescent="0.3">
      <c r="A59" s="2">
        <v>45357</v>
      </c>
      <c r="B59" s="3" t="s">
        <v>8</v>
      </c>
      <c r="C59" s="3" t="s">
        <v>23</v>
      </c>
      <c r="D59" s="3" t="s">
        <v>13</v>
      </c>
      <c r="E59" s="3">
        <v>10</v>
      </c>
      <c r="F59" s="3">
        <v>50000</v>
      </c>
      <c r="G59" s="3">
        <f t="shared" si="0"/>
        <v>500000</v>
      </c>
    </row>
    <row r="60" spans="1:7" x14ac:dyDescent="0.3">
      <c r="A60" s="2">
        <v>45358</v>
      </c>
      <c r="B60" s="3" t="s">
        <v>11</v>
      </c>
      <c r="C60" s="3" t="s">
        <v>15</v>
      </c>
      <c r="D60" s="3" t="s">
        <v>16</v>
      </c>
      <c r="E60" s="3">
        <v>8</v>
      </c>
      <c r="F60" s="3">
        <v>20000</v>
      </c>
      <c r="G60" s="3">
        <f t="shared" si="0"/>
        <v>160000</v>
      </c>
    </row>
    <row r="61" spans="1:7" x14ac:dyDescent="0.3">
      <c r="A61" s="2">
        <v>45359</v>
      </c>
      <c r="B61" s="3" t="s">
        <v>8</v>
      </c>
      <c r="C61" s="3" t="s">
        <v>18</v>
      </c>
      <c r="D61" s="3" t="s">
        <v>19</v>
      </c>
      <c r="E61" s="3">
        <v>13</v>
      </c>
      <c r="F61" s="3">
        <v>30000</v>
      </c>
      <c r="G61" s="3">
        <f t="shared" si="0"/>
        <v>390000</v>
      </c>
    </row>
    <row r="62" spans="1:7" x14ac:dyDescent="0.3">
      <c r="A62" s="2">
        <v>45360</v>
      </c>
      <c r="B62" s="3" t="s">
        <v>17</v>
      </c>
      <c r="C62" s="3" t="s">
        <v>9</v>
      </c>
      <c r="D62" s="3" t="s">
        <v>10</v>
      </c>
      <c r="E62" s="3">
        <v>9</v>
      </c>
      <c r="F62" s="3">
        <v>70000</v>
      </c>
      <c r="G62" s="3">
        <f t="shared" si="0"/>
        <v>630000</v>
      </c>
    </row>
    <row r="63" spans="1:7" x14ac:dyDescent="0.3">
      <c r="A63" s="2">
        <v>45361</v>
      </c>
      <c r="B63" s="3" t="s">
        <v>20</v>
      </c>
      <c r="C63" s="3" t="s">
        <v>15</v>
      </c>
      <c r="D63" s="3" t="s">
        <v>13</v>
      </c>
      <c r="E63" s="3">
        <v>5</v>
      </c>
      <c r="F63" s="3">
        <v>50000</v>
      </c>
      <c r="G63" s="3">
        <f t="shared" si="0"/>
        <v>250000</v>
      </c>
    </row>
    <row r="64" spans="1:7" x14ac:dyDescent="0.3">
      <c r="A64" s="2">
        <v>45362</v>
      </c>
      <c r="B64" s="3" t="s">
        <v>22</v>
      </c>
      <c r="C64" s="3" t="s">
        <v>12</v>
      </c>
      <c r="D64" s="3" t="s">
        <v>16</v>
      </c>
      <c r="E64" s="3">
        <v>11</v>
      </c>
      <c r="F64" s="3">
        <v>20000</v>
      </c>
      <c r="G64" s="3">
        <f t="shared" si="0"/>
        <v>220000</v>
      </c>
    </row>
    <row r="65" spans="1:7" x14ac:dyDescent="0.3">
      <c r="A65" s="2">
        <v>45363</v>
      </c>
      <c r="B65" s="3" t="s">
        <v>11</v>
      </c>
      <c r="C65" s="3" t="s">
        <v>15</v>
      </c>
      <c r="D65" s="3" t="s">
        <v>19</v>
      </c>
      <c r="E65" s="3">
        <v>14</v>
      </c>
      <c r="F65" s="3">
        <v>30000</v>
      </c>
      <c r="G65" s="3">
        <f t="shared" si="0"/>
        <v>420000</v>
      </c>
    </row>
    <row r="66" spans="1:7" x14ac:dyDescent="0.3">
      <c r="A66" s="2">
        <v>45364</v>
      </c>
      <c r="B66" s="3" t="s">
        <v>14</v>
      </c>
      <c r="C66" s="3" t="s">
        <v>18</v>
      </c>
      <c r="D66" s="3" t="s">
        <v>10</v>
      </c>
      <c r="E66" s="3">
        <v>10</v>
      </c>
      <c r="F66" s="3">
        <v>70000</v>
      </c>
      <c r="G66" s="3">
        <f t="shared" si="0"/>
        <v>700000</v>
      </c>
    </row>
    <row r="67" spans="1:7" x14ac:dyDescent="0.3">
      <c r="A67" s="2">
        <v>45365</v>
      </c>
      <c r="B67" s="3" t="s">
        <v>17</v>
      </c>
      <c r="C67" s="3" t="s">
        <v>21</v>
      </c>
      <c r="D67" s="3" t="s">
        <v>13</v>
      </c>
      <c r="E67" s="3">
        <v>6</v>
      </c>
      <c r="F67" s="3">
        <v>50000</v>
      </c>
      <c r="G67" s="3">
        <f t="shared" si="0"/>
        <v>300000</v>
      </c>
    </row>
    <row r="68" spans="1:7" x14ac:dyDescent="0.3">
      <c r="A68" s="2">
        <v>45366</v>
      </c>
      <c r="B68" s="3" t="s">
        <v>8</v>
      </c>
      <c r="C68" s="3" t="s">
        <v>23</v>
      </c>
      <c r="D68" s="3" t="s">
        <v>16</v>
      </c>
      <c r="E68" s="3">
        <v>8</v>
      </c>
      <c r="F68" s="3">
        <v>20000</v>
      </c>
      <c r="G68" s="3">
        <f t="shared" si="0"/>
        <v>160000</v>
      </c>
    </row>
    <row r="69" spans="1:7" x14ac:dyDescent="0.3">
      <c r="A69" s="2">
        <v>45367</v>
      </c>
      <c r="B69" s="3" t="s">
        <v>22</v>
      </c>
      <c r="C69" s="3" t="s">
        <v>15</v>
      </c>
      <c r="D69" s="3" t="s">
        <v>19</v>
      </c>
      <c r="E69" s="3">
        <v>12</v>
      </c>
      <c r="F69" s="3">
        <v>30000</v>
      </c>
      <c r="G69" s="3">
        <f t="shared" ref="G69:G79" si="1">E69*F69</f>
        <v>360000</v>
      </c>
    </row>
    <row r="70" spans="1:7" x14ac:dyDescent="0.3">
      <c r="A70" s="2">
        <v>45368</v>
      </c>
      <c r="B70" s="3" t="s">
        <v>11</v>
      </c>
      <c r="C70" s="3" t="s">
        <v>18</v>
      </c>
      <c r="D70" s="3" t="s">
        <v>10</v>
      </c>
      <c r="E70" s="3">
        <v>9</v>
      </c>
      <c r="F70" s="3">
        <v>70000</v>
      </c>
      <c r="G70" s="3">
        <f t="shared" si="1"/>
        <v>630000</v>
      </c>
    </row>
    <row r="71" spans="1:7" x14ac:dyDescent="0.3">
      <c r="A71" s="2">
        <v>45369</v>
      </c>
      <c r="B71" s="3" t="s">
        <v>8</v>
      </c>
      <c r="C71" s="3" t="s">
        <v>12</v>
      </c>
      <c r="D71" s="3" t="s">
        <v>13</v>
      </c>
      <c r="E71" s="3">
        <v>7</v>
      </c>
      <c r="F71" s="3">
        <v>50000</v>
      </c>
      <c r="G71" s="3">
        <f t="shared" si="1"/>
        <v>350000</v>
      </c>
    </row>
    <row r="72" spans="1:7" x14ac:dyDescent="0.3">
      <c r="A72" s="2">
        <v>45370</v>
      </c>
      <c r="B72" s="3" t="s">
        <v>17</v>
      </c>
      <c r="C72" s="3" t="s">
        <v>15</v>
      </c>
      <c r="D72" s="3" t="s">
        <v>16</v>
      </c>
      <c r="E72" s="3">
        <v>14</v>
      </c>
      <c r="F72" s="3">
        <v>20000</v>
      </c>
      <c r="G72" s="3">
        <f>E72*F72</f>
        <v>280000</v>
      </c>
    </row>
    <row r="73" spans="1:7" x14ac:dyDescent="0.3">
      <c r="A73" s="2">
        <v>45371</v>
      </c>
      <c r="B73" s="3" t="s">
        <v>20</v>
      </c>
      <c r="C73" s="3" t="s">
        <v>18</v>
      </c>
      <c r="D73" s="3" t="s">
        <v>19</v>
      </c>
      <c r="E73" s="3">
        <v>8</v>
      </c>
      <c r="F73" s="3">
        <v>30000</v>
      </c>
      <c r="G73" s="3">
        <f t="shared" si="1"/>
        <v>240000</v>
      </c>
    </row>
    <row r="74" spans="1:7" x14ac:dyDescent="0.3">
      <c r="A74" s="2">
        <v>45372</v>
      </c>
      <c r="B74" s="3" t="s">
        <v>22</v>
      </c>
      <c r="C74" s="3" t="s">
        <v>21</v>
      </c>
      <c r="D74" s="3" t="s">
        <v>10</v>
      </c>
      <c r="E74" s="3">
        <v>11</v>
      </c>
      <c r="F74" s="3">
        <v>70000</v>
      </c>
      <c r="G74" s="3">
        <f t="shared" si="1"/>
        <v>770000</v>
      </c>
    </row>
    <row r="75" spans="1:7" x14ac:dyDescent="0.3">
      <c r="A75" s="2">
        <v>45373</v>
      </c>
      <c r="B75" s="3" t="s">
        <v>8</v>
      </c>
      <c r="C75" s="3" t="s">
        <v>23</v>
      </c>
      <c r="D75" s="3" t="s">
        <v>13</v>
      </c>
      <c r="E75" s="3">
        <v>5</v>
      </c>
      <c r="F75" s="3">
        <v>50000</v>
      </c>
      <c r="G75" s="3">
        <f t="shared" si="1"/>
        <v>250000</v>
      </c>
    </row>
    <row r="76" spans="1:7" x14ac:dyDescent="0.3">
      <c r="A76" s="2">
        <v>45374</v>
      </c>
      <c r="B76" s="3" t="s">
        <v>14</v>
      </c>
      <c r="C76" s="3" t="s">
        <v>15</v>
      </c>
      <c r="D76" s="3" t="s">
        <v>16</v>
      </c>
      <c r="E76" s="3">
        <v>10</v>
      </c>
      <c r="F76" s="3">
        <v>20000</v>
      </c>
      <c r="G76" s="3">
        <f t="shared" si="1"/>
        <v>200000</v>
      </c>
    </row>
    <row r="77" spans="1:7" x14ac:dyDescent="0.3">
      <c r="A77" s="2">
        <v>45375</v>
      </c>
      <c r="B77" s="3" t="s">
        <v>17</v>
      </c>
      <c r="C77" s="3" t="s">
        <v>18</v>
      </c>
      <c r="D77" s="3" t="s">
        <v>19</v>
      </c>
      <c r="E77" s="3">
        <v>9</v>
      </c>
      <c r="F77" s="3">
        <v>30000</v>
      </c>
      <c r="G77" s="3">
        <f t="shared" si="1"/>
        <v>270000</v>
      </c>
    </row>
    <row r="78" spans="1:7" x14ac:dyDescent="0.3">
      <c r="A78" s="2">
        <v>45376</v>
      </c>
      <c r="B78" s="3" t="s">
        <v>20</v>
      </c>
      <c r="C78" s="3" t="s">
        <v>23</v>
      </c>
      <c r="D78" s="3" t="s">
        <v>10</v>
      </c>
      <c r="E78" s="3">
        <v>10</v>
      </c>
      <c r="F78" s="3">
        <v>70000</v>
      </c>
      <c r="G78" s="3">
        <f t="shared" si="1"/>
        <v>700000</v>
      </c>
    </row>
    <row r="79" spans="1:7" x14ac:dyDescent="0.3">
      <c r="A79" s="2">
        <v>45381</v>
      </c>
      <c r="B79" s="3" t="s">
        <v>8</v>
      </c>
      <c r="C79" s="3" t="s">
        <v>18</v>
      </c>
      <c r="D79" s="3" t="s">
        <v>19</v>
      </c>
      <c r="E79" s="3">
        <v>5</v>
      </c>
      <c r="F79" s="3">
        <v>30000</v>
      </c>
      <c r="G79" s="3">
        <f t="shared" si="1"/>
        <v>150000</v>
      </c>
    </row>
    <row r="80" spans="1:7" x14ac:dyDescent="0.3">
      <c r="G80" s="3"/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36D-B72D-449B-80E1-10FBBD58556B}">
  <dimension ref="A1:G80"/>
  <sheetViews>
    <sheetView topLeftCell="A73" workbookViewId="0">
      <selection activeCell="G80" sqref="G80"/>
    </sheetView>
  </sheetViews>
  <sheetFormatPr defaultRowHeight="14.4" x14ac:dyDescent="0.3"/>
  <cols>
    <col min="1" max="1" width="14" customWidth="1"/>
  </cols>
  <sheetData>
    <row r="1" spans="1:7" x14ac:dyDescent="0.3">
      <c r="A1" s="20" t="s">
        <v>0</v>
      </c>
      <c r="B1" s="20"/>
      <c r="C1" s="20"/>
      <c r="D1" s="20"/>
      <c r="E1" s="20"/>
      <c r="F1" s="20"/>
      <c r="G1" s="20"/>
    </row>
    <row r="2" spans="1:7" x14ac:dyDescent="0.3">
      <c r="A2" s="20"/>
      <c r="B2" s="20"/>
      <c r="C2" s="20"/>
      <c r="D2" s="20"/>
      <c r="E2" s="20"/>
      <c r="F2" s="20"/>
      <c r="G2" s="20"/>
    </row>
    <row r="3" spans="1:7" ht="43.2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28.8" x14ac:dyDescent="0.3">
      <c r="A4" s="2">
        <v>45296</v>
      </c>
      <c r="B4" s="3" t="s">
        <v>8</v>
      </c>
      <c r="C4" s="3" t="s">
        <v>9</v>
      </c>
      <c r="D4" s="3" t="s">
        <v>10</v>
      </c>
      <c r="E4" s="3">
        <v>5</v>
      </c>
      <c r="F4" s="3">
        <v>70000</v>
      </c>
      <c r="G4" s="3">
        <f>E4*F4</f>
        <v>350000</v>
      </c>
    </row>
    <row r="5" spans="1:7" ht="28.8" x14ac:dyDescent="0.3">
      <c r="A5" s="2">
        <v>45297</v>
      </c>
      <c r="B5" s="3" t="s">
        <v>11</v>
      </c>
      <c r="C5" s="3" t="s">
        <v>12</v>
      </c>
      <c r="D5" s="3" t="s">
        <v>13</v>
      </c>
      <c r="E5" s="3">
        <v>10</v>
      </c>
      <c r="F5" s="3">
        <v>50000</v>
      </c>
      <c r="G5" s="3">
        <f t="shared" ref="G5:G68" si="0">E5*F5</f>
        <v>500000</v>
      </c>
    </row>
    <row r="6" spans="1:7" ht="28.8" x14ac:dyDescent="0.3">
      <c r="A6" s="2">
        <v>45298</v>
      </c>
      <c r="B6" s="3" t="s">
        <v>14</v>
      </c>
      <c r="C6" s="3" t="s">
        <v>15</v>
      </c>
      <c r="D6" s="3" t="s">
        <v>16</v>
      </c>
      <c r="E6" s="3">
        <v>7</v>
      </c>
      <c r="F6" s="3">
        <v>20000</v>
      </c>
      <c r="G6" s="3">
        <f t="shared" si="0"/>
        <v>140000</v>
      </c>
    </row>
    <row r="7" spans="1:7" ht="28.8" x14ac:dyDescent="0.3">
      <c r="A7" s="2">
        <v>45299</v>
      </c>
      <c r="B7" s="3" t="s">
        <v>17</v>
      </c>
      <c r="C7" s="3" t="s">
        <v>18</v>
      </c>
      <c r="D7" s="3" t="s">
        <v>19</v>
      </c>
      <c r="E7" s="3">
        <v>15</v>
      </c>
      <c r="F7" s="3">
        <v>30000</v>
      </c>
      <c r="G7" s="3">
        <f t="shared" si="0"/>
        <v>450000</v>
      </c>
    </row>
    <row r="8" spans="1:7" ht="28.8" x14ac:dyDescent="0.3">
      <c r="A8" s="2">
        <v>45300</v>
      </c>
      <c r="B8" s="3" t="s">
        <v>20</v>
      </c>
      <c r="C8" s="3" t="s">
        <v>21</v>
      </c>
      <c r="D8" s="3" t="s">
        <v>10</v>
      </c>
      <c r="E8" s="3">
        <v>3</v>
      </c>
      <c r="F8" s="3">
        <v>70000</v>
      </c>
      <c r="G8" s="3">
        <f t="shared" si="0"/>
        <v>210000</v>
      </c>
    </row>
    <row r="9" spans="1:7" ht="28.8" x14ac:dyDescent="0.3">
      <c r="A9" s="2">
        <v>45301</v>
      </c>
      <c r="B9" s="3" t="s">
        <v>22</v>
      </c>
      <c r="C9" s="3" t="s">
        <v>23</v>
      </c>
      <c r="D9" s="3" t="s">
        <v>13</v>
      </c>
      <c r="E9" s="3">
        <v>6</v>
      </c>
      <c r="F9" s="3">
        <v>50000</v>
      </c>
      <c r="G9" s="3">
        <f t="shared" si="0"/>
        <v>300000</v>
      </c>
    </row>
    <row r="10" spans="1:7" ht="28.8" x14ac:dyDescent="0.3">
      <c r="A10" s="2">
        <v>45302</v>
      </c>
      <c r="B10" s="3" t="s">
        <v>11</v>
      </c>
      <c r="C10" s="3" t="s">
        <v>15</v>
      </c>
      <c r="D10" s="3" t="s">
        <v>16</v>
      </c>
      <c r="E10" s="3">
        <v>4</v>
      </c>
      <c r="F10" s="3">
        <v>20000</v>
      </c>
      <c r="G10" s="3">
        <f t="shared" si="0"/>
        <v>80000</v>
      </c>
    </row>
    <row r="11" spans="1:7" ht="28.8" x14ac:dyDescent="0.3">
      <c r="A11" s="2">
        <v>45303</v>
      </c>
      <c r="B11" s="3" t="s">
        <v>14</v>
      </c>
      <c r="C11" s="3" t="s">
        <v>18</v>
      </c>
      <c r="D11" s="3" t="s">
        <v>19</v>
      </c>
      <c r="E11" s="3">
        <v>10</v>
      </c>
      <c r="F11" s="3">
        <v>30000</v>
      </c>
      <c r="G11" s="3">
        <f t="shared" si="0"/>
        <v>300000</v>
      </c>
    </row>
    <row r="12" spans="1:7" ht="28.8" x14ac:dyDescent="0.3">
      <c r="A12" s="2">
        <v>45304</v>
      </c>
      <c r="B12" s="3" t="s">
        <v>8</v>
      </c>
      <c r="C12" s="3" t="s">
        <v>9</v>
      </c>
      <c r="D12" s="3" t="s">
        <v>10</v>
      </c>
      <c r="E12" s="3">
        <v>8</v>
      </c>
      <c r="F12" s="3">
        <v>70000</v>
      </c>
      <c r="G12" s="3">
        <f t="shared" si="0"/>
        <v>560000</v>
      </c>
    </row>
    <row r="13" spans="1:7" ht="28.8" x14ac:dyDescent="0.3">
      <c r="A13" s="2">
        <v>45305</v>
      </c>
      <c r="B13" s="3" t="s">
        <v>20</v>
      </c>
      <c r="C13" s="3" t="s">
        <v>9</v>
      </c>
      <c r="D13" s="3" t="s">
        <v>13</v>
      </c>
      <c r="E13" s="3">
        <v>12</v>
      </c>
      <c r="F13" s="3">
        <v>50000</v>
      </c>
      <c r="G13" s="3">
        <f t="shared" si="0"/>
        <v>600000</v>
      </c>
    </row>
    <row r="14" spans="1:7" x14ac:dyDescent="0.3">
      <c r="A14" s="2">
        <v>45306</v>
      </c>
      <c r="B14" s="3" t="s">
        <v>22</v>
      </c>
      <c r="C14" s="3" t="s">
        <v>12</v>
      </c>
      <c r="D14" s="3" t="s">
        <v>16</v>
      </c>
      <c r="E14" s="3">
        <v>9</v>
      </c>
      <c r="F14" s="3">
        <v>20000</v>
      </c>
      <c r="G14" s="3">
        <f t="shared" si="0"/>
        <v>180000</v>
      </c>
    </row>
    <row r="15" spans="1:7" ht="28.8" x14ac:dyDescent="0.3">
      <c r="A15" s="2">
        <v>45307</v>
      </c>
      <c r="B15" s="3" t="s">
        <v>11</v>
      </c>
      <c r="C15" s="3" t="s">
        <v>15</v>
      </c>
      <c r="D15" s="3" t="s">
        <v>19</v>
      </c>
      <c r="E15" s="3">
        <v>5</v>
      </c>
      <c r="F15" s="3">
        <v>30000</v>
      </c>
      <c r="G15" s="3">
        <f t="shared" si="0"/>
        <v>150000</v>
      </c>
    </row>
    <row r="16" spans="1:7" ht="28.8" x14ac:dyDescent="0.3">
      <c r="A16" s="2">
        <v>45308</v>
      </c>
      <c r="B16" s="3" t="s">
        <v>14</v>
      </c>
      <c r="C16" s="3" t="s">
        <v>18</v>
      </c>
      <c r="D16" s="3" t="s">
        <v>10</v>
      </c>
      <c r="E16" s="3">
        <v>11</v>
      </c>
      <c r="F16" s="3">
        <v>70000</v>
      </c>
      <c r="G16" s="3">
        <f t="shared" si="0"/>
        <v>770000</v>
      </c>
    </row>
    <row r="17" spans="1:7" ht="28.8" x14ac:dyDescent="0.3">
      <c r="A17" s="2">
        <v>45309</v>
      </c>
      <c r="B17" s="3" t="s">
        <v>17</v>
      </c>
      <c r="C17" s="3" t="s">
        <v>21</v>
      </c>
      <c r="D17" s="3" t="s">
        <v>13</v>
      </c>
      <c r="E17" s="3">
        <v>7</v>
      </c>
      <c r="F17" s="3">
        <v>50000</v>
      </c>
      <c r="G17" s="3">
        <f t="shared" si="0"/>
        <v>350000</v>
      </c>
    </row>
    <row r="18" spans="1:7" ht="28.8" x14ac:dyDescent="0.3">
      <c r="A18" s="2">
        <v>45310</v>
      </c>
      <c r="B18" s="3" t="s">
        <v>20</v>
      </c>
      <c r="C18" s="3" t="s">
        <v>23</v>
      </c>
      <c r="D18" s="3" t="s">
        <v>16</v>
      </c>
      <c r="E18" s="3">
        <v>6</v>
      </c>
      <c r="F18" s="3">
        <v>20000</v>
      </c>
      <c r="G18" s="3">
        <f t="shared" si="0"/>
        <v>120000</v>
      </c>
    </row>
    <row r="19" spans="1:7" ht="28.8" x14ac:dyDescent="0.3">
      <c r="A19" s="2">
        <v>45311</v>
      </c>
      <c r="B19" s="3" t="s">
        <v>22</v>
      </c>
      <c r="C19" s="3" t="s">
        <v>15</v>
      </c>
      <c r="D19" s="3" t="s">
        <v>19</v>
      </c>
      <c r="E19" s="3">
        <v>13</v>
      </c>
      <c r="F19" s="3">
        <v>30000</v>
      </c>
      <c r="G19" s="3">
        <f t="shared" si="0"/>
        <v>390000</v>
      </c>
    </row>
    <row r="20" spans="1:7" ht="28.8" x14ac:dyDescent="0.3">
      <c r="A20" s="2">
        <v>45312</v>
      </c>
      <c r="B20" s="3" t="s">
        <v>8</v>
      </c>
      <c r="C20" s="3" t="s">
        <v>18</v>
      </c>
      <c r="D20" s="3" t="s">
        <v>10</v>
      </c>
      <c r="E20" s="3">
        <v>9</v>
      </c>
      <c r="F20" s="3">
        <v>70000</v>
      </c>
      <c r="G20" s="3">
        <f t="shared" si="0"/>
        <v>630000</v>
      </c>
    </row>
    <row r="21" spans="1:7" ht="28.8" x14ac:dyDescent="0.3">
      <c r="A21" s="2">
        <v>45313</v>
      </c>
      <c r="B21" s="3" t="s">
        <v>14</v>
      </c>
      <c r="C21" s="3" t="s">
        <v>21</v>
      </c>
      <c r="D21" s="3" t="s">
        <v>13</v>
      </c>
      <c r="E21" s="3">
        <v>8</v>
      </c>
      <c r="F21" s="3">
        <v>50000</v>
      </c>
      <c r="G21" s="3">
        <f t="shared" si="0"/>
        <v>400000</v>
      </c>
    </row>
    <row r="22" spans="1:7" ht="28.8" x14ac:dyDescent="0.3">
      <c r="A22" s="2">
        <v>45314</v>
      </c>
      <c r="B22" s="3" t="s">
        <v>17</v>
      </c>
      <c r="C22" s="3" t="s">
        <v>23</v>
      </c>
      <c r="D22" s="3" t="s">
        <v>16</v>
      </c>
      <c r="E22" s="3">
        <v>14</v>
      </c>
      <c r="F22" s="3">
        <v>20000</v>
      </c>
      <c r="G22" s="3">
        <f t="shared" si="0"/>
        <v>280000</v>
      </c>
    </row>
    <row r="23" spans="1:7" ht="28.8" x14ac:dyDescent="0.3">
      <c r="A23" s="2">
        <v>45315</v>
      </c>
      <c r="B23" s="3" t="s">
        <v>20</v>
      </c>
      <c r="C23" s="3" t="s">
        <v>15</v>
      </c>
      <c r="D23" s="3" t="s">
        <v>19</v>
      </c>
      <c r="E23" s="3">
        <v>7</v>
      </c>
      <c r="F23" s="3">
        <v>30000</v>
      </c>
      <c r="G23" s="3">
        <f t="shared" si="0"/>
        <v>210000</v>
      </c>
    </row>
    <row r="24" spans="1:7" ht="28.8" x14ac:dyDescent="0.3">
      <c r="A24" s="2">
        <v>45316</v>
      </c>
      <c r="B24" s="3" t="s">
        <v>22</v>
      </c>
      <c r="C24" s="3" t="s">
        <v>18</v>
      </c>
      <c r="D24" s="3" t="s">
        <v>10</v>
      </c>
      <c r="E24" s="3">
        <v>10</v>
      </c>
      <c r="F24" s="3">
        <v>70000</v>
      </c>
      <c r="G24" s="3">
        <f t="shared" si="0"/>
        <v>700000</v>
      </c>
    </row>
    <row r="25" spans="1:7" ht="28.8" x14ac:dyDescent="0.3">
      <c r="A25" s="2">
        <v>45317</v>
      </c>
      <c r="B25" s="3" t="s">
        <v>11</v>
      </c>
      <c r="C25" s="3" t="s">
        <v>9</v>
      </c>
      <c r="D25" s="3" t="s">
        <v>13</v>
      </c>
      <c r="E25" s="3">
        <v>5</v>
      </c>
      <c r="F25" s="3">
        <v>50000</v>
      </c>
      <c r="G25" s="3">
        <f t="shared" si="0"/>
        <v>250000</v>
      </c>
    </row>
    <row r="26" spans="1:7" x14ac:dyDescent="0.3">
      <c r="A26" s="2">
        <v>45318</v>
      </c>
      <c r="B26" s="3" t="s">
        <v>8</v>
      </c>
      <c r="C26" s="3" t="s">
        <v>12</v>
      </c>
      <c r="D26" s="3" t="s">
        <v>16</v>
      </c>
      <c r="E26" s="3">
        <v>8</v>
      </c>
      <c r="F26" s="3">
        <v>20000</v>
      </c>
      <c r="G26" s="3">
        <f t="shared" si="0"/>
        <v>160000</v>
      </c>
    </row>
    <row r="27" spans="1:7" ht="28.8" x14ac:dyDescent="0.3">
      <c r="A27" s="2">
        <v>45319</v>
      </c>
      <c r="B27" s="3" t="s">
        <v>17</v>
      </c>
      <c r="C27" s="3" t="s">
        <v>15</v>
      </c>
      <c r="D27" s="3" t="s">
        <v>19</v>
      </c>
      <c r="E27" s="3">
        <v>6</v>
      </c>
      <c r="F27" s="3">
        <v>30000</v>
      </c>
      <c r="G27" s="3">
        <f t="shared" si="0"/>
        <v>180000</v>
      </c>
    </row>
    <row r="28" spans="1:7" ht="28.8" x14ac:dyDescent="0.3">
      <c r="A28" s="2">
        <v>45320</v>
      </c>
      <c r="B28" s="3" t="s">
        <v>20</v>
      </c>
      <c r="C28" s="3" t="s">
        <v>18</v>
      </c>
      <c r="D28" s="3" t="s">
        <v>10</v>
      </c>
      <c r="E28" s="3">
        <v>7</v>
      </c>
      <c r="F28" s="3">
        <v>70000</v>
      </c>
      <c r="G28" s="3">
        <f t="shared" si="0"/>
        <v>490000</v>
      </c>
    </row>
    <row r="29" spans="1:7" ht="28.8" x14ac:dyDescent="0.3">
      <c r="A29" s="2">
        <v>45323</v>
      </c>
      <c r="B29" s="3" t="s">
        <v>22</v>
      </c>
      <c r="C29" s="3" t="s">
        <v>21</v>
      </c>
      <c r="D29" s="3" t="s">
        <v>10</v>
      </c>
      <c r="E29" s="3">
        <v>8</v>
      </c>
      <c r="F29" s="3">
        <v>70000</v>
      </c>
      <c r="G29" s="3">
        <f t="shared" si="0"/>
        <v>560000</v>
      </c>
    </row>
    <row r="30" spans="1:7" ht="28.8" x14ac:dyDescent="0.3">
      <c r="A30" s="2">
        <v>45324</v>
      </c>
      <c r="B30" s="3" t="s">
        <v>11</v>
      </c>
      <c r="C30" s="3" t="s">
        <v>23</v>
      </c>
      <c r="D30" s="3" t="s">
        <v>13</v>
      </c>
      <c r="E30" s="3">
        <v>6</v>
      </c>
      <c r="F30" s="3">
        <v>50000</v>
      </c>
      <c r="G30" s="3">
        <f t="shared" si="0"/>
        <v>300000</v>
      </c>
    </row>
    <row r="31" spans="1:7" ht="28.8" x14ac:dyDescent="0.3">
      <c r="A31" s="2">
        <v>45325</v>
      </c>
      <c r="B31" s="3" t="s">
        <v>14</v>
      </c>
      <c r="C31" s="3" t="s">
        <v>15</v>
      </c>
      <c r="D31" s="3" t="s">
        <v>16</v>
      </c>
      <c r="E31" s="3">
        <v>10</v>
      </c>
      <c r="F31" s="3">
        <v>20000</v>
      </c>
      <c r="G31" s="3">
        <f t="shared" si="0"/>
        <v>200000</v>
      </c>
    </row>
    <row r="32" spans="1:7" ht="28.8" x14ac:dyDescent="0.3">
      <c r="A32" s="2">
        <v>45326</v>
      </c>
      <c r="B32" s="3" t="s">
        <v>17</v>
      </c>
      <c r="C32" s="3" t="s">
        <v>9</v>
      </c>
      <c r="D32" s="3" t="s">
        <v>19</v>
      </c>
      <c r="E32" s="3">
        <v>20</v>
      </c>
      <c r="F32" s="3">
        <v>30000</v>
      </c>
      <c r="G32" s="3">
        <f t="shared" si="0"/>
        <v>600000</v>
      </c>
    </row>
    <row r="33" spans="1:7" ht="28.8" x14ac:dyDescent="0.3">
      <c r="A33" s="2">
        <v>45327</v>
      </c>
      <c r="B33" s="3" t="s">
        <v>8</v>
      </c>
      <c r="C33" s="3" t="s">
        <v>21</v>
      </c>
      <c r="D33" s="3" t="s">
        <v>10</v>
      </c>
      <c r="E33" s="3">
        <v>4</v>
      </c>
      <c r="F33" s="3">
        <v>70000</v>
      </c>
      <c r="G33" s="3">
        <f t="shared" si="0"/>
        <v>280000</v>
      </c>
    </row>
    <row r="34" spans="1:7" ht="28.8" x14ac:dyDescent="0.3">
      <c r="A34" s="2">
        <v>45328</v>
      </c>
      <c r="B34" s="3" t="s">
        <v>22</v>
      </c>
      <c r="C34" s="3" t="s">
        <v>23</v>
      </c>
      <c r="D34" s="3" t="s">
        <v>13</v>
      </c>
      <c r="E34" s="3">
        <v>9</v>
      </c>
      <c r="F34" s="3">
        <v>50000</v>
      </c>
      <c r="G34" s="3">
        <f t="shared" si="0"/>
        <v>450000</v>
      </c>
    </row>
    <row r="35" spans="1:7" ht="28.8" x14ac:dyDescent="0.3">
      <c r="A35" s="2">
        <v>45329</v>
      </c>
      <c r="B35" s="3" t="s">
        <v>11</v>
      </c>
      <c r="C35" s="3" t="s">
        <v>21</v>
      </c>
      <c r="D35" s="3" t="s">
        <v>16</v>
      </c>
      <c r="E35" s="3">
        <v>5</v>
      </c>
      <c r="F35" s="3">
        <v>20000</v>
      </c>
      <c r="G35" s="3">
        <f t="shared" si="0"/>
        <v>100000</v>
      </c>
    </row>
    <row r="36" spans="1:7" ht="28.8" x14ac:dyDescent="0.3">
      <c r="A36" s="2">
        <v>45330</v>
      </c>
      <c r="B36" s="3" t="s">
        <v>8</v>
      </c>
      <c r="C36" s="3" t="s">
        <v>23</v>
      </c>
      <c r="D36" s="3" t="s">
        <v>19</v>
      </c>
      <c r="E36" s="3">
        <v>15</v>
      </c>
      <c r="F36" s="3">
        <v>30000</v>
      </c>
      <c r="G36" s="3">
        <f t="shared" si="0"/>
        <v>450000</v>
      </c>
    </row>
    <row r="37" spans="1:7" ht="28.8" x14ac:dyDescent="0.3">
      <c r="A37" s="2">
        <v>45331</v>
      </c>
      <c r="B37" s="3" t="s">
        <v>17</v>
      </c>
      <c r="C37" s="3" t="s">
        <v>15</v>
      </c>
      <c r="D37" s="3" t="s">
        <v>10</v>
      </c>
      <c r="E37" s="3">
        <v>7</v>
      </c>
      <c r="F37" s="3">
        <v>70000</v>
      </c>
      <c r="G37" s="3">
        <f t="shared" si="0"/>
        <v>490000</v>
      </c>
    </row>
    <row r="38" spans="1:7" ht="28.8" x14ac:dyDescent="0.3">
      <c r="A38" s="2">
        <v>45332</v>
      </c>
      <c r="B38" s="3" t="s">
        <v>20</v>
      </c>
      <c r="C38" s="3" t="s">
        <v>18</v>
      </c>
      <c r="D38" s="3" t="s">
        <v>13</v>
      </c>
      <c r="E38" s="3">
        <v>11</v>
      </c>
      <c r="F38" s="3">
        <v>50000</v>
      </c>
      <c r="G38" s="3">
        <f t="shared" si="0"/>
        <v>550000</v>
      </c>
    </row>
    <row r="39" spans="1:7" ht="28.8" x14ac:dyDescent="0.3">
      <c r="A39" s="2">
        <v>45333</v>
      </c>
      <c r="B39" s="3" t="s">
        <v>22</v>
      </c>
      <c r="C39" s="3" t="s">
        <v>9</v>
      </c>
      <c r="D39" s="3" t="s">
        <v>16</v>
      </c>
      <c r="E39" s="3">
        <v>12</v>
      </c>
      <c r="F39" s="3">
        <v>20000</v>
      </c>
      <c r="G39" s="3">
        <f t="shared" si="0"/>
        <v>240000</v>
      </c>
    </row>
    <row r="40" spans="1:7" ht="28.8" x14ac:dyDescent="0.3">
      <c r="A40" s="2">
        <v>45334</v>
      </c>
      <c r="B40" s="3" t="s">
        <v>11</v>
      </c>
      <c r="C40" s="3" t="s">
        <v>9</v>
      </c>
      <c r="D40" s="3" t="s">
        <v>19</v>
      </c>
      <c r="E40" s="3">
        <v>10</v>
      </c>
      <c r="F40" s="3">
        <v>30000</v>
      </c>
      <c r="G40" s="3">
        <f t="shared" si="0"/>
        <v>300000</v>
      </c>
    </row>
    <row r="41" spans="1:7" x14ac:dyDescent="0.3">
      <c r="A41" s="2">
        <v>45335</v>
      </c>
      <c r="B41" s="3" t="s">
        <v>14</v>
      </c>
      <c r="C41" s="3" t="s">
        <v>12</v>
      </c>
      <c r="D41" s="3" t="s">
        <v>10</v>
      </c>
      <c r="E41" s="3">
        <v>9</v>
      </c>
      <c r="F41" s="3">
        <v>70000</v>
      </c>
      <c r="G41" s="3">
        <f t="shared" si="0"/>
        <v>630000</v>
      </c>
    </row>
    <row r="42" spans="1:7" ht="28.8" x14ac:dyDescent="0.3">
      <c r="A42" s="2">
        <v>45336</v>
      </c>
      <c r="B42" s="3" t="s">
        <v>17</v>
      </c>
      <c r="C42" s="3" t="s">
        <v>15</v>
      </c>
      <c r="D42" s="3" t="s">
        <v>13</v>
      </c>
      <c r="E42" s="3">
        <v>8</v>
      </c>
      <c r="F42" s="3">
        <v>50000</v>
      </c>
      <c r="G42" s="3">
        <f t="shared" si="0"/>
        <v>400000</v>
      </c>
    </row>
    <row r="43" spans="1:7" ht="28.8" x14ac:dyDescent="0.3">
      <c r="A43" s="2">
        <v>45337</v>
      </c>
      <c r="B43" s="3" t="s">
        <v>20</v>
      </c>
      <c r="C43" s="3" t="s">
        <v>18</v>
      </c>
      <c r="D43" s="3" t="s">
        <v>16</v>
      </c>
      <c r="E43" s="3">
        <v>11</v>
      </c>
      <c r="F43" s="3">
        <v>20000</v>
      </c>
      <c r="G43" s="3">
        <f t="shared" si="0"/>
        <v>220000</v>
      </c>
    </row>
    <row r="44" spans="1:7" ht="28.8" x14ac:dyDescent="0.3">
      <c r="A44" s="2">
        <v>45338</v>
      </c>
      <c r="B44" s="3" t="s">
        <v>8</v>
      </c>
      <c r="C44" s="3" t="s">
        <v>21</v>
      </c>
      <c r="D44" s="3" t="s">
        <v>19</v>
      </c>
      <c r="E44" s="3">
        <v>14</v>
      </c>
      <c r="F44" s="3">
        <v>30000</v>
      </c>
      <c r="G44" s="3">
        <f t="shared" si="0"/>
        <v>420000</v>
      </c>
    </row>
    <row r="45" spans="1:7" ht="28.8" x14ac:dyDescent="0.3">
      <c r="A45" s="2">
        <v>45339</v>
      </c>
      <c r="B45" s="3" t="s">
        <v>11</v>
      </c>
      <c r="C45" s="3" t="s">
        <v>23</v>
      </c>
      <c r="D45" s="3" t="s">
        <v>10</v>
      </c>
      <c r="E45" s="3">
        <v>10</v>
      </c>
      <c r="F45" s="3">
        <v>70000</v>
      </c>
      <c r="G45" s="3">
        <f t="shared" si="0"/>
        <v>700000</v>
      </c>
    </row>
    <row r="46" spans="1:7" ht="28.8" x14ac:dyDescent="0.3">
      <c r="A46" s="2">
        <v>45340</v>
      </c>
      <c r="B46" s="3" t="s">
        <v>14</v>
      </c>
      <c r="C46" s="3" t="s">
        <v>15</v>
      </c>
      <c r="D46" s="3" t="s">
        <v>13</v>
      </c>
      <c r="E46" s="3">
        <v>9</v>
      </c>
      <c r="F46" s="3">
        <v>50000</v>
      </c>
      <c r="G46" s="3">
        <f t="shared" si="0"/>
        <v>450000</v>
      </c>
    </row>
    <row r="47" spans="1:7" ht="28.8" x14ac:dyDescent="0.3">
      <c r="A47" s="2">
        <v>45341</v>
      </c>
      <c r="B47" s="3" t="s">
        <v>17</v>
      </c>
      <c r="C47" s="3" t="s">
        <v>18</v>
      </c>
      <c r="D47" s="3" t="s">
        <v>16</v>
      </c>
      <c r="E47" s="3">
        <v>13</v>
      </c>
      <c r="F47" s="3">
        <v>20000</v>
      </c>
      <c r="G47" s="3">
        <f t="shared" si="0"/>
        <v>260000</v>
      </c>
    </row>
    <row r="48" spans="1:7" ht="28.8" x14ac:dyDescent="0.3">
      <c r="A48" s="2">
        <v>45342</v>
      </c>
      <c r="B48" s="3" t="s">
        <v>20</v>
      </c>
      <c r="C48" s="3" t="s">
        <v>21</v>
      </c>
      <c r="D48" s="3" t="s">
        <v>19</v>
      </c>
      <c r="E48" s="3">
        <v>8</v>
      </c>
      <c r="F48" s="3">
        <v>30000</v>
      </c>
      <c r="G48" s="3">
        <f t="shared" si="0"/>
        <v>240000</v>
      </c>
    </row>
    <row r="49" spans="1:7" ht="28.8" x14ac:dyDescent="0.3">
      <c r="A49" s="2">
        <v>45343</v>
      </c>
      <c r="B49" s="3" t="s">
        <v>22</v>
      </c>
      <c r="C49" s="3" t="s">
        <v>23</v>
      </c>
      <c r="D49" s="3" t="s">
        <v>10</v>
      </c>
      <c r="E49" s="3">
        <v>12</v>
      </c>
      <c r="F49" s="3">
        <v>70000</v>
      </c>
      <c r="G49" s="3">
        <f t="shared" si="0"/>
        <v>840000</v>
      </c>
    </row>
    <row r="50" spans="1:7" ht="28.8" x14ac:dyDescent="0.3">
      <c r="A50" s="2">
        <v>45344</v>
      </c>
      <c r="B50" s="3" t="s">
        <v>11</v>
      </c>
      <c r="C50" s="3" t="s">
        <v>15</v>
      </c>
      <c r="D50" s="3" t="s">
        <v>13</v>
      </c>
      <c r="E50" s="3">
        <v>7</v>
      </c>
      <c r="F50" s="3">
        <v>50000</v>
      </c>
      <c r="G50" s="3">
        <f t="shared" si="0"/>
        <v>350000</v>
      </c>
    </row>
    <row r="51" spans="1:7" ht="28.8" x14ac:dyDescent="0.3">
      <c r="A51" s="2">
        <v>45345</v>
      </c>
      <c r="B51" s="3" t="s">
        <v>14</v>
      </c>
      <c r="C51" s="3" t="s">
        <v>18</v>
      </c>
      <c r="D51" s="3" t="s">
        <v>16</v>
      </c>
      <c r="E51" s="3">
        <v>9</v>
      </c>
      <c r="F51" s="3">
        <v>20000</v>
      </c>
      <c r="G51" s="3">
        <f t="shared" si="0"/>
        <v>180000</v>
      </c>
    </row>
    <row r="52" spans="1:7" ht="28.8" x14ac:dyDescent="0.3">
      <c r="A52" s="2">
        <v>45346</v>
      </c>
      <c r="B52" s="3" t="s">
        <v>8</v>
      </c>
      <c r="C52" s="3" t="s">
        <v>9</v>
      </c>
      <c r="D52" s="3" t="s">
        <v>19</v>
      </c>
      <c r="E52" s="3">
        <v>12</v>
      </c>
      <c r="F52" s="3">
        <v>30000</v>
      </c>
      <c r="G52" s="3">
        <f t="shared" si="0"/>
        <v>360000</v>
      </c>
    </row>
    <row r="53" spans="1:7" x14ac:dyDescent="0.3">
      <c r="A53" s="2">
        <v>45347</v>
      </c>
      <c r="B53" s="3" t="s">
        <v>20</v>
      </c>
      <c r="C53" s="3" t="s">
        <v>12</v>
      </c>
      <c r="D53" s="3" t="s">
        <v>10</v>
      </c>
      <c r="E53" s="3">
        <v>5</v>
      </c>
      <c r="F53" s="3">
        <v>70000</v>
      </c>
      <c r="G53" s="3">
        <f t="shared" si="0"/>
        <v>350000</v>
      </c>
    </row>
    <row r="54" spans="1:7" ht="28.8" x14ac:dyDescent="0.3">
      <c r="A54" s="2">
        <v>45352</v>
      </c>
      <c r="B54" s="3" t="s">
        <v>22</v>
      </c>
      <c r="C54" s="3" t="s">
        <v>9</v>
      </c>
      <c r="D54" s="3" t="s">
        <v>10</v>
      </c>
      <c r="E54" s="3">
        <v>12</v>
      </c>
      <c r="F54" s="3">
        <v>70000</v>
      </c>
      <c r="G54" s="3">
        <f t="shared" si="0"/>
        <v>840000</v>
      </c>
    </row>
    <row r="55" spans="1:7" ht="28.8" x14ac:dyDescent="0.3">
      <c r="A55" s="2">
        <v>45353</v>
      </c>
      <c r="B55" s="3" t="s">
        <v>11</v>
      </c>
      <c r="C55" s="3" t="s">
        <v>9</v>
      </c>
      <c r="D55" s="3" t="s">
        <v>13</v>
      </c>
      <c r="E55" s="3">
        <v>8</v>
      </c>
      <c r="F55" s="3">
        <v>50000</v>
      </c>
      <c r="G55" s="3">
        <f t="shared" si="0"/>
        <v>400000</v>
      </c>
    </row>
    <row r="56" spans="1:7" ht="28.8" x14ac:dyDescent="0.3">
      <c r="A56" s="2">
        <v>45354</v>
      </c>
      <c r="B56" s="3" t="s">
        <v>14</v>
      </c>
      <c r="C56" s="3" t="s">
        <v>21</v>
      </c>
      <c r="D56" s="3" t="s">
        <v>16</v>
      </c>
      <c r="E56" s="3">
        <v>7</v>
      </c>
      <c r="F56" s="3">
        <v>20000</v>
      </c>
      <c r="G56" s="3">
        <f t="shared" si="0"/>
        <v>140000</v>
      </c>
    </row>
    <row r="57" spans="1:7" ht="28.8" x14ac:dyDescent="0.3">
      <c r="A57" s="2">
        <v>45355</v>
      </c>
      <c r="B57" s="3" t="s">
        <v>17</v>
      </c>
      <c r="C57" s="3" t="s">
        <v>23</v>
      </c>
      <c r="D57" s="3" t="s">
        <v>19</v>
      </c>
      <c r="E57" s="3">
        <v>9</v>
      </c>
      <c r="F57" s="3">
        <v>30000</v>
      </c>
      <c r="G57" s="3">
        <f t="shared" si="0"/>
        <v>270000</v>
      </c>
    </row>
    <row r="58" spans="1:7" ht="28.8" x14ac:dyDescent="0.3">
      <c r="A58" s="2">
        <v>45356</v>
      </c>
      <c r="B58" s="3" t="s">
        <v>20</v>
      </c>
      <c r="C58" s="3" t="s">
        <v>21</v>
      </c>
      <c r="D58" s="3" t="s">
        <v>10</v>
      </c>
      <c r="E58" s="3">
        <v>6</v>
      </c>
      <c r="F58" s="3">
        <v>70000</v>
      </c>
      <c r="G58" s="3">
        <f t="shared" si="0"/>
        <v>420000</v>
      </c>
    </row>
    <row r="59" spans="1:7" ht="28.8" x14ac:dyDescent="0.3">
      <c r="A59" s="2">
        <v>45357</v>
      </c>
      <c r="B59" s="3" t="s">
        <v>8</v>
      </c>
      <c r="C59" s="3" t="s">
        <v>23</v>
      </c>
      <c r="D59" s="3" t="s">
        <v>13</v>
      </c>
      <c r="E59" s="3">
        <v>10</v>
      </c>
      <c r="F59" s="3">
        <v>50000</v>
      </c>
      <c r="G59" s="3">
        <f t="shared" si="0"/>
        <v>500000</v>
      </c>
    </row>
    <row r="60" spans="1:7" ht="28.8" x14ac:dyDescent="0.3">
      <c r="A60" s="2">
        <v>45358</v>
      </c>
      <c r="B60" s="3" t="s">
        <v>11</v>
      </c>
      <c r="C60" s="3" t="s">
        <v>15</v>
      </c>
      <c r="D60" s="3" t="s">
        <v>16</v>
      </c>
      <c r="E60" s="3">
        <v>8</v>
      </c>
      <c r="F60" s="3">
        <v>20000</v>
      </c>
      <c r="G60" s="3">
        <f t="shared" si="0"/>
        <v>160000</v>
      </c>
    </row>
    <row r="61" spans="1:7" ht="28.8" x14ac:dyDescent="0.3">
      <c r="A61" s="2">
        <v>45359</v>
      </c>
      <c r="B61" s="3" t="s">
        <v>8</v>
      </c>
      <c r="C61" s="3" t="s">
        <v>18</v>
      </c>
      <c r="D61" s="3" t="s">
        <v>19</v>
      </c>
      <c r="E61" s="3">
        <v>13</v>
      </c>
      <c r="F61" s="3">
        <v>30000</v>
      </c>
      <c r="G61" s="3">
        <f t="shared" si="0"/>
        <v>390000</v>
      </c>
    </row>
    <row r="62" spans="1:7" ht="28.8" x14ac:dyDescent="0.3">
      <c r="A62" s="2">
        <v>45360</v>
      </c>
      <c r="B62" s="3" t="s">
        <v>17</v>
      </c>
      <c r="C62" s="3" t="s">
        <v>9</v>
      </c>
      <c r="D62" s="3" t="s">
        <v>10</v>
      </c>
      <c r="E62" s="3">
        <v>9</v>
      </c>
      <c r="F62" s="3">
        <v>70000</v>
      </c>
      <c r="G62" s="3">
        <f t="shared" si="0"/>
        <v>630000</v>
      </c>
    </row>
    <row r="63" spans="1:7" ht="28.8" x14ac:dyDescent="0.3">
      <c r="A63" s="2">
        <v>45361</v>
      </c>
      <c r="B63" s="3" t="s">
        <v>20</v>
      </c>
      <c r="C63" s="3" t="s">
        <v>15</v>
      </c>
      <c r="D63" s="3" t="s">
        <v>13</v>
      </c>
      <c r="E63" s="3">
        <v>5</v>
      </c>
      <c r="F63" s="3">
        <v>50000</v>
      </c>
      <c r="G63" s="3">
        <f t="shared" si="0"/>
        <v>250000</v>
      </c>
    </row>
    <row r="64" spans="1:7" x14ac:dyDescent="0.3">
      <c r="A64" s="2">
        <v>45362</v>
      </c>
      <c r="B64" s="3" t="s">
        <v>22</v>
      </c>
      <c r="C64" s="3" t="s">
        <v>12</v>
      </c>
      <c r="D64" s="3" t="s">
        <v>16</v>
      </c>
      <c r="E64" s="3">
        <v>11</v>
      </c>
      <c r="F64" s="3">
        <v>20000</v>
      </c>
      <c r="G64" s="3">
        <f t="shared" si="0"/>
        <v>220000</v>
      </c>
    </row>
    <row r="65" spans="1:7" ht="28.8" x14ac:dyDescent="0.3">
      <c r="A65" s="2">
        <v>45363</v>
      </c>
      <c r="B65" s="3" t="s">
        <v>11</v>
      </c>
      <c r="C65" s="3" t="s">
        <v>15</v>
      </c>
      <c r="D65" s="3" t="s">
        <v>19</v>
      </c>
      <c r="E65" s="3">
        <v>14</v>
      </c>
      <c r="F65" s="3">
        <v>30000</v>
      </c>
      <c r="G65" s="3">
        <f t="shared" si="0"/>
        <v>420000</v>
      </c>
    </row>
    <row r="66" spans="1:7" ht="28.8" x14ac:dyDescent="0.3">
      <c r="A66" s="2">
        <v>45364</v>
      </c>
      <c r="B66" s="3" t="s">
        <v>14</v>
      </c>
      <c r="C66" s="3" t="s">
        <v>18</v>
      </c>
      <c r="D66" s="3" t="s">
        <v>10</v>
      </c>
      <c r="E66" s="3">
        <v>10</v>
      </c>
      <c r="F66" s="3">
        <v>70000</v>
      </c>
      <c r="G66" s="3">
        <f t="shared" si="0"/>
        <v>700000</v>
      </c>
    </row>
    <row r="67" spans="1:7" ht="28.8" x14ac:dyDescent="0.3">
      <c r="A67" s="2">
        <v>45365</v>
      </c>
      <c r="B67" s="3" t="s">
        <v>17</v>
      </c>
      <c r="C67" s="3" t="s">
        <v>21</v>
      </c>
      <c r="D67" s="3" t="s">
        <v>13</v>
      </c>
      <c r="E67" s="3">
        <v>6</v>
      </c>
      <c r="F67" s="3">
        <v>50000</v>
      </c>
      <c r="G67" s="3">
        <f t="shared" si="0"/>
        <v>300000</v>
      </c>
    </row>
    <row r="68" spans="1:7" ht="28.8" x14ac:dyDescent="0.3">
      <c r="A68" s="2">
        <v>45366</v>
      </c>
      <c r="B68" s="3" t="s">
        <v>8</v>
      </c>
      <c r="C68" s="3" t="s">
        <v>23</v>
      </c>
      <c r="D68" s="3" t="s">
        <v>16</v>
      </c>
      <c r="E68" s="3">
        <v>8</v>
      </c>
      <c r="F68" s="3">
        <v>20000</v>
      </c>
      <c r="G68" s="3">
        <f t="shared" si="0"/>
        <v>160000</v>
      </c>
    </row>
    <row r="69" spans="1:7" ht="28.8" x14ac:dyDescent="0.3">
      <c r="A69" s="2">
        <v>45367</v>
      </c>
      <c r="B69" s="3" t="s">
        <v>22</v>
      </c>
      <c r="C69" s="3" t="s">
        <v>15</v>
      </c>
      <c r="D69" s="3" t="s">
        <v>19</v>
      </c>
      <c r="E69" s="3">
        <v>12</v>
      </c>
      <c r="F69" s="3">
        <v>30000</v>
      </c>
      <c r="G69" s="3">
        <f t="shared" ref="G69:G79" si="1">E69*F69</f>
        <v>360000</v>
      </c>
    </row>
    <row r="70" spans="1:7" ht="28.8" x14ac:dyDescent="0.3">
      <c r="A70" s="2">
        <v>45368</v>
      </c>
      <c r="B70" s="3" t="s">
        <v>11</v>
      </c>
      <c r="C70" s="3" t="s">
        <v>18</v>
      </c>
      <c r="D70" s="3" t="s">
        <v>10</v>
      </c>
      <c r="E70" s="3">
        <v>9</v>
      </c>
      <c r="F70" s="3">
        <v>70000</v>
      </c>
      <c r="G70" s="3">
        <f t="shared" si="1"/>
        <v>630000</v>
      </c>
    </row>
    <row r="71" spans="1:7" x14ac:dyDescent="0.3">
      <c r="A71" s="2">
        <v>45369</v>
      </c>
      <c r="B71" s="3" t="s">
        <v>8</v>
      </c>
      <c r="C71" s="3" t="s">
        <v>12</v>
      </c>
      <c r="D71" s="3" t="s">
        <v>13</v>
      </c>
      <c r="E71" s="3">
        <v>7</v>
      </c>
      <c r="F71" s="3">
        <v>50000</v>
      </c>
      <c r="G71" s="3">
        <f t="shared" si="1"/>
        <v>350000</v>
      </c>
    </row>
    <row r="72" spans="1:7" ht="28.8" x14ac:dyDescent="0.3">
      <c r="A72" s="2">
        <v>45370</v>
      </c>
      <c r="B72" s="3" t="s">
        <v>17</v>
      </c>
      <c r="C72" s="3" t="s">
        <v>15</v>
      </c>
      <c r="D72" s="3" t="s">
        <v>16</v>
      </c>
      <c r="E72" s="3">
        <v>14</v>
      </c>
      <c r="F72" s="3">
        <v>20000</v>
      </c>
      <c r="G72" s="3">
        <f>E72*F72</f>
        <v>280000</v>
      </c>
    </row>
    <row r="73" spans="1:7" ht="28.8" x14ac:dyDescent="0.3">
      <c r="A73" s="2">
        <v>45371</v>
      </c>
      <c r="B73" s="3" t="s">
        <v>20</v>
      </c>
      <c r="C73" s="3" t="s">
        <v>18</v>
      </c>
      <c r="D73" s="3" t="s">
        <v>19</v>
      </c>
      <c r="E73" s="3">
        <v>8</v>
      </c>
      <c r="F73" s="3">
        <v>30000</v>
      </c>
      <c r="G73" s="3">
        <f t="shared" si="1"/>
        <v>240000</v>
      </c>
    </row>
    <row r="74" spans="1:7" ht="28.8" x14ac:dyDescent="0.3">
      <c r="A74" s="2">
        <v>45372</v>
      </c>
      <c r="B74" s="3" t="s">
        <v>22</v>
      </c>
      <c r="C74" s="3" t="s">
        <v>21</v>
      </c>
      <c r="D74" s="3" t="s">
        <v>10</v>
      </c>
      <c r="E74" s="3">
        <v>11</v>
      </c>
      <c r="F74" s="3">
        <v>70000</v>
      </c>
      <c r="G74" s="3">
        <f t="shared" si="1"/>
        <v>770000</v>
      </c>
    </row>
    <row r="75" spans="1:7" ht="28.8" x14ac:dyDescent="0.3">
      <c r="A75" s="2">
        <v>45373</v>
      </c>
      <c r="B75" s="3" t="s">
        <v>8</v>
      </c>
      <c r="C75" s="3" t="s">
        <v>23</v>
      </c>
      <c r="D75" s="3" t="s">
        <v>13</v>
      </c>
      <c r="E75" s="3">
        <v>5</v>
      </c>
      <c r="F75" s="3">
        <v>50000</v>
      </c>
      <c r="G75" s="3">
        <f t="shared" si="1"/>
        <v>250000</v>
      </c>
    </row>
    <row r="76" spans="1:7" ht="28.8" x14ac:dyDescent="0.3">
      <c r="A76" s="2">
        <v>45374</v>
      </c>
      <c r="B76" s="3" t="s">
        <v>14</v>
      </c>
      <c r="C76" s="3" t="s">
        <v>15</v>
      </c>
      <c r="D76" s="3" t="s">
        <v>16</v>
      </c>
      <c r="E76" s="3">
        <v>10</v>
      </c>
      <c r="F76" s="3">
        <v>20000</v>
      </c>
      <c r="G76" s="3">
        <f t="shared" si="1"/>
        <v>200000</v>
      </c>
    </row>
    <row r="77" spans="1:7" ht="28.8" x14ac:dyDescent="0.3">
      <c r="A77" s="2">
        <v>45375</v>
      </c>
      <c r="B77" s="3" t="s">
        <v>17</v>
      </c>
      <c r="C77" s="3" t="s">
        <v>18</v>
      </c>
      <c r="D77" s="3" t="s">
        <v>19</v>
      </c>
      <c r="E77" s="3">
        <v>9</v>
      </c>
      <c r="F77" s="3">
        <v>30000</v>
      </c>
      <c r="G77" s="3">
        <f t="shared" si="1"/>
        <v>270000</v>
      </c>
    </row>
    <row r="78" spans="1:7" ht="28.8" x14ac:dyDescent="0.3">
      <c r="A78" s="2">
        <v>45376</v>
      </c>
      <c r="B78" s="3" t="s">
        <v>20</v>
      </c>
      <c r="C78" s="3" t="s">
        <v>23</v>
      </c>
      <c r="D78" s="3" t="s">
        <v>10</v>
      </c>
      <c r="E78" s="3">
        <v>10</v>
      </c>
      <c r="F78" s="3">
        <v>70000</v>
      </c>
      <c r="G78" s="3">
        <f t="shared" si="1"/>
        <v>700000</v>
      </c>
    </row>
    <row r="79" spans="1:7" ht="28.8" x14ac:dyDescent="0.3">
      <c r="A79" s="2">
        <v>45381</v>
      </c>
      <c r="B79" s="3" t="s">
        <v>8</v>
      </c>
      <c r="C79" s="3" t="s">
        <v>18</v>
      </c>
      <c r="D79" s="3" t="s">
        <v>19</v>
      </c>
      <c r="E79" s="3">
        <v>5</v>
      </c>
      <c r="F79" s="3">
        <v>30000</v>
      </c>
      <c r="G79" s="3">
        <f t="shared" si="1"/>
        <v>150000</v>
      </c>
    </row>
    <row r="80" spans="1:7" ht="28.8" x14ac:dyDescent="0.3">
      <c r="A80" s="5" t="s">
        <v>24</v>
      </c>
      <c r="G80" s="4">
        <f>SUM(G4:G79)</f>
        <v>28670000</v>
      </c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96028-00F6-44D6-B974-95940A13FAAC}">
  <dimension ref="A3:B10"/>
  <sheetViews>
    <sheetView workbookViewId="0">
      <selection activeCell="E8" sqref="E8"/>
    </sheetView>
  </sheetViews>
  <sheetFormatPr defaultRowHeight="14.4" x14ac:dyDescent="0.3"/>
  <cols>
    <col min="1" max="1" width="13.109375" bestFit="1" customWidth="1"/>
    <col min="2" max="2" width="22.6640625" bestFit="1" customWidth="1"/>
  </cols>
  <sheetData>
    <row r="3" spans="1:2" x14ac:dyDescent="0.3">
      <c r="A3" s="6" t="s">
        <v>25</v>
      </c>
      <c r="B3" t="s">
        <v>28</v>
      </c>
    </row>
    <row r="4" spans="1:2" x14ac:dyDescent="0.3">
      <c r="A4" s="7" t="s">
        <v>8</v>
      </c>
      <c r="B4">
        <v>5010000</v>
      </c>
    </row>
    <row r="5" spans="1:2" x14ac:dyDescent="0.3">
      <c r="A5" s="7" t="s">
        <v>11</v>
      </c>
      <c r="B5">
        <v>4340000</v>
      </c>
    </row>
    <row r="6" spans="1:2" x14ac:dyDescent="0.3">
      <c r="A6" s="7" t="s">
        <v>22</v>
      </c>
      <c r="B6">
        <v>5850000</v>
      </c>
    </row>
    <row r="7" spans="1:2" x14ac:dyDescent="0.3">
      <c r="A7" s="7" t="s">
        <v>14</v>
      </c>
      <c r="B7">
        <v>4110000</v>
      </c>
    </row>
    <row r="8" spans="1:2" x14ac:dyDescent="0.3">
      <c r="A8" s="7" t="s">
        <v>17</v>
      </c>
      <c r="B8">
        <v>4760000</v>
      </c>
    </row>
    <row r="9" spans="1:2" x14ac:dyDescent="0.3">
      <c r="A9" s="7" t="s">
        <v>20</v>
      </c>
      <c r="B9">
        <v>4600000</v>
      </c>
    </row>
    <row r="10" spans="1:2" x14ac:dyDescent="0.3">
      <c r="A10" s="7" t="s">
        <v>27</v>
      </c>
      <c r="B10">
        <v>28670000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3064-DD02-412C-AA34-C190654FEA37}">
  <dimension ref="A3:B9"/>
  <sheetViews>
    <sheetView workbookViewId="0">
      <selection activeCell="A3" sqref="A3:B7"/>
    </sheetView>
  </sheetViews>
  <sheetFormatPr defaultRowHeight="14.4" x14ac:dyDescent="0.3"/>
  <cols>
    <col min="1" max="1" width="13.109375" bestFit="1" customWidth="1"/>
    <col min="2" max="2" width="22.6640625" bestFit="1" customWidth="1"/>
  </cols>
  <sheetData>
    <row r="3" spans="1:2" x14ac:dyDescent="0.3">
      <c r="A3" s="6" t="s">
        <v>25</v>
      </c>
      <c r="B3" t="s">
        <v>28</v>
      </c>
    </row>
    <row r="4" spans="1:2" x14ac:dyDescent="0.3">
      <c r="A4" s="7" t="s">
        <v>13</v>
      </c>
      <c r="B4">
        <v>6950000</v>
      </c>
    </row>
    <row r="5" spans="1:2" x14ac:dyDescent="0.3">
      <c r="A5" s="7" t="s">
        <v>10</v>
      </c>
      <c r="B5">
        <v>12250000</v>
      </c>
    </row>
    <row r="6" spans="1:2" x14ac:dyDescent="0.3">
      <c r="A6" s="7" t="s">
        <v>19</v>
      </c>
      <c r="B6">
        <v>6150000</v>
      </c>
    </row>
    <row r="7" spans="1:2" x14ac:dyDescent="0.3">
      <c r="A7" s="7" t="s">
        <v>16</v>
      </c>
      <c r="B7">
        <v>3320000</v>
      </c>
    </row>
    <row r="8" spans="1:2" x14ac:dyDescent="0.3">
      <c r="A8" s="7" t="s">
        <v>26</v>
      </c>
    </row>
    <row r="9" spans="1:2" x14ac:dyDescent="0.3">
      <c r="A9" s="7" t="s">
        <v>27</v>
      </c>
      <c r="B9">
        <v>28670000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58AE-4B35-44FA-9952-6FDE47D724F1}">
  <sheetPr filterMode="1"/>
  <dimension ref="E10:K89"/>
  <sheetViews>
    <sheetView topLeftCell="A10" workbookViewId="0">
      <selection activeCell="J89" sqref="J89"/>
    </sheetView>
  </sheetViews>
  <sheetFormatPr defaultRowHeight="14.4" x14ac:dyDescent="0.3"/>
  <cols>
    <col min="1" max="1" width="12.109375" customWidth="1"/>
    <col min="5" max="5" width="16.44140625" customWidth="1"/>
  </cols>
  <sheetData>
    <row r="10" spans="5:11" x14ac:dyDescent="0.3">
      <c r="E10" s="20" t="s">
        <v>0</v>
      </c>
      <c r="F10" s="20"/>
      <c r="G10" s="20"/>
      <c r="H10" s="20"/>
      <c r="I10" s="20"/>
      <c r="J10" s="20"/>
      <c r="K10" s="20"/>
    </row>
    <row r="11" spans="5:11" x14ac:dyDescent="0.3">
      <c r="E11" s="20"/>
      <c r="F11" s="20"/>
      <c r="G11" s="20"/>
      <c r="H11" s="20"/>
      <c r="I11" s="20"/>
      <c r="J11" s="20"/>
      <c r="K11" s="20"/>
    </row>
    <row r="12" spans="5:11" ht="43.2" x14ac:dyDescent="0.3">
      <c r="E12" s="1" t="s">
        <v>1</v>
      </c>
      <c r="F12" s="1" t="s">
        <v>2</v>
      </c>
      <c r="G12" s="1" t="s">
        <v>3</v>
      </c>
      <c r="H12" s="1" t="s">
        <v>4</v>
      </c>
      <c r="I12" s="1" t="s">
        <v>5</v>
      </c>
      <c r="J12" s="1" t="s">
        <v>6</v>
      </c>
      <c r="K12" s="1" t="s">
        <v>7</v>
      </c>
    </row>
    <row r="13" spans="5:11" ht="28.8" hidden="1" x14ac:dyDescent="0.3">
      <c r="E13" s="2">
        <v>45296</v>
      </c>
      <c r="F13" s="3" t="s">
        <v>8</v>
      </c>
      <c r="G13" s="3" t="s">
        <v>9</v>
      </c>
      <c r="H13" s="3" t="s">
        <v>10</v>
      </c>
      <c r="I13" s="3">
        <v>5</v>
      </c>
      <c r="J13" s="3">
        <v>70000</v>
      </c>
      <c r="K13" s="3">
        <f>I13*J13</f>
        <v>350000</v>
      </c>
    </row>
    <row r="14" spans="5:11" ht="28.8" hidden="1" x14ac:dyDescent="0.3">
      <c r="E14" s="2">
        <v>45297</v>
      </c>
      <c r="F14" s="3" t="s">
        <v>11</v>
      </c>
      <c r="G14" s="3" t="s">
        <v>12</v>
      </c>
      <c r="H14" s="3" t="s">
        <v>13</v>
      </c>
      <c r="I14" s="3">
        <v>10</v>
      </c>
      <c r="J14" s="3">
        <v>50000</v>
      </c>
      <c r="K14" s="3">
        <f t="shared" ref="K14:K77" si="0">I14*J14</f>
        <v>500000</v>
      </c>
    </row>
    <row r="15" spans="5:11" ht="28.8" hidden="1" x14ac:dyDescent="0.3">
      <c r="E15" s="2">
        <v>45298</v>
      </c>
      <c r="F15" s="3" t="s">
        <v>14</v>
      </c>
      <c r="G15" s="3" t="s">
        <v>15</v>
      </c>
      <c r="H15" s="3" t="s">
        <v>16</v>
      </c>
      <c r="I15" s="3">
        <v>7</v>
      </c>
      <c r="J15" s="3">
        <v>20000</v>
      </c>
      <c r="K15" s="3">
        <f t="shared" si="0"/>
        <v>140000</v>
      </c>
    </row>
    <row r="16" spans="5:11" ht="28.8" hidden="1" x14ac:dyDescent="0.3">
      <c r="E16" s="2">
        <v>45299</v>
      </c>
      <c r="F16" s="3" t="s">
        <v>17</v>
      </c>
      <c r="G16" s="3" t="s">
        <v>18</v>
      </c>
      <c r="H16" s="3" t="s">
        <v>19</v>
      </c>
      <c r="I16" s="3">
        <v>15</v>
      </c>
      <c r="J16" s="3">
        <v>30000</v>
      </c>
      <c r="K16" s="3">
        <f t="shared" si="0"/>
        <v>450000</v>
      </c>
    </row>
    <row r="17" spans="5:11" ht="28.8" hidden="1" x14ac:dyDescent="0.3">
      <c r="E17" s="2">
        <v>45300</v>
      </c>
      <c r="F17" s="3" t="s">
        <v>20</v>
      </c>
      <c r="G17" s="3" t="s">
        <v>21</v>
      </c>
      <c r="H17" s="3" t="s">
        <v>10</v>
      </c>
      <c r="I17" s="3">
        <v>3</v>
      </c>
      <c r="J17" s="3">
        <v>70000</v>
      </c>
      <c r="K17" s="3">
        <f t="shared" si="0"/>
        <v>210000</v>
      </c>
    </row>
    <row r="18" spans="5:11" ht="28.8" hidden="1" x14ac:dyDescent="0.3">
      <c r="E18" s="2">
        <v>45301</v>
      </c>
      <c r="F18" s="3" t="s">
        <v>22</v>
      </c>
      <c r="G18" s="3" t="s">
        <v>23</v>
      </c>
      <c r="H18" s="3" t="s">
        <v>13</v>
      </c>
      <c r="I18" s="3">
        <v>6</v>
      </c>
      <c r="J18" s="3">
        <v>50000</v>
      </c>
      <c r="K18" s="3">
        <f t="shared" si="0"/>
        <v>300000</v>
      </c>
    </row>
    <row r="19" spans="5:11" ht="28.8" hidden="1" x14ac:dyDescent="0.3">
      <c r="E19" s="2">
        <v>45302</v>
      </c>
      <c r="F19" s="3" t="s">
        <v>11</v>
      </c>
      <c r="G19" s="3" t="s">
        <v>15</v>
      </c>
      <c r="H19" s="3" t="s">
        <v>16</v>
      </c>
      <c r="I19" s="3">
        <v>4</v>
      </c>
      <c r="J19" s="3">
        <v>20000</v>
      </c>
      <c r="K19" s="3">
        <f t="shared" si="0"/>
        <v>80000</v>
      </c>
    </row>
    <row r="20" spans="5:11" ht="28.8" hidden="1" x14ac:dyDescent="0.3">
      <c r="E20" s="2">
        <v>45303</v>
      </c>
      <c r="F20" s="3" t="s">
        <v>14</v>
      </c>
      <c r="G20" s="3" t="s">
        <v>18</v>
      </c>
      <c r="H20" s="3" t="s">
        <v>19</v>
      </c>
      <c r="I20" s="3">
        <v>10</v>
      </c>
      <c r="J20" s="3">
        <v>30000</v>
      </c>
      <c r="K20" s="3">
        <f t="shared" si="0"/>
        <v>300000</v>
      </c>
    </row>
    <row r="21" spans="5:11" ht="28.8" hidden="1" x14ac:dyDescent="0.3">
      <c r="E21" s="2">
        <v>45304</v>
      </c>
      <c r="F21" s="3" t="s">
        <v>8</v>
      </c>
      <c r="G21" s="3" t="s">
        <v>9</v>
      </c>
      <c r="H21" s="3" t="s">
        <v>10</v>
      </c>
      <c r="I21" s="3">
        <v>8</v>
      </c>
      <c r="J21" s="3">
        <v>70000</v>
      </c>
      <c r="K21" s="3">
        <f t="shared" si="0"/>
        <v>560000</v>
      </c>
    </row>
    <row r="22" spans="5:11" ht="28.8" hidden="1" x14ac:dyDescent="0.3">
      <c r="E22" s="2">
        <v>45305</v>
      </c>
      <c r="F22" s="3" t="s">
        <v>20</v>
      </c>
      <c r="G22" s="3" t="s">
        <v>9</v>
      </c>
      <c r="H22" s="3" t="s">
        <v>13</v>
      </c>
      <c r="I22" s="3">
        <v>12</v>
      </c>
      <c r="J22" s="3">
        <v>50000</v>
      </c>
      <c r="K22" s="3">
        <f t="shared" si="0"/>
        <v>600000</v>
      </c>
    </row>
    <row r="23" spans="5:11" hidden="1" x14ac:dyDescent="0.3">
      <c r="E23" s="2">
        <v>45306</v>
      </c>
      <c r="F23" s="3" t="s">
        <v>22</v>
      </c>
      <c r="G23" s="3" t="s">
        <v>12</v>
      </c>
      <c r="H23" s="3" t="s">
        <v>16</v>
      </c>
      <c r="I23" s="3">
        <v>9</v>
      </c>
      <c r="J23" s="3">
        <v>20000</v>
      </c>
      <c r="K23" s="3">
        <f t="shared" si="0"/>
        <v>180000</v>
      </c>
    </row>
    <row r="24" spans="5:11" ht="28.8" hidden="1" x14ac:dyDescent="0.3">
      <c r="E24" s="2">
        <v>45307</v>
      </c>
      <c r="F24" s="3" t="s">
        <v>11</v>
      </c>
      <c r="G24" s="3" t="s">
        <v>15</v>
      </c>
      <c r="H24" s="3" t="s">
        <v>19</v>
      </c>
      <c r="I24" s="3">
        <v>5</v>
      </c>
      <c r="J24" s="3">
        <v>30000</v>
      </c>
      <c r="K24" s="3">
        <f t="shared" si="0"/>
        <v>150000</v>
      </c>
    </row>
    <row r="25" spans="5:11" ht="28.8" hidden="1" x14ac:dyDescent="0.3">
      <c r="E25" s="2">
        <v>45308</v>
      </c>
      <c r="F25" s="3" t="s">
        <v>14</v>
      </c>
      <c r="G25" s="3" t="s">
        <v>18</v>
      </c>
      <c r="H25" s="3" t="s">
        <v>10</v>
      </c>
      <c r="I25" s="3">
        <v>11</v>
      </c>
      <c r="J25" s="3">
        <v>70000</v>
      </c>
      <c r="K25" s="3">
        <f t="shared" si="0"/>
        <v>770000</v>
      </c>
    </row>
    <row r="26" spans="5:11" ht="28.8" hidden="1" x14ac:dyDescent="0.3">
      <c r="E26" s="2">
        <v>45309</v>
      </c>
      <c r="F26" s="3" t="s">
        <v>17</v>
      </c>
      <c r="G26" s="3" t="s">
        <v>21</v>
      </c>
      <c r="H26" s="3" t="s">
        <v>13</v>
      </c>
      <c r="I26" s="3">
        <v>7</v>
      </c>
      <c r="J26" s="3">
        <v>50000</v>
      </c>
      <c r="K26" s="3">
        <f t="shared" si="0"/>
        <v>350000</v>
      </c>
    </row>
    <row r="27" spans="5:11" ht="28.8" hidden="1" x14ac:dyDescent="0.3">
      <c r="E27" s="2">
        <v>45310</v>
      </c>
      <c r="F27" s="3" t="s">
        <v>20</v>
      </c>
      <c r="G27" s="3" t="s">
        <v>23</v>
      </c>
      <c r="H27" s="3" t="s">
        <v>16</v>
      </c>
      <c r="I27" s="3">
        <v>6</v>
      </c>
      <c r="J27" s="3">
        <v>20000</v>
      </c>
      <c r="K27" s="3">
        <f t="shared" si="0"/>
        <v>120000</v>
      </c>
    </row>
    <row r="28" spans="5:11" ht="28.8" hidden="1" x14ac:dyDescent="0.3">
      <c r="E28" s="2">
        <v>45311</v>
      </c>
      <c r="F28" s="3" t="s">
        <v>22</v>
      </c>
      <c r="G28" s="3" t="s">
        <v>15</v>
      </c>
      <c r="H28" s="3" t="s">
        <v>19</v>
      </c>
      <c r="I28" s="3">
        <v>13</v>
      </c>
      <c r="J28" s="3">
        <v>30000</v>
      </c>
      <c r="K28" s="3">
        <f t="shared" si="0"/>
        <v>390000</v>
      </c>
    </row>
    <row r="29" spans="5:11" ht="28.8" hidden="1" x14ac:dyDescent="0.3">
      <c r="E29" s="2">
        <v>45312</v>
      </c>
      <c r="F29" s="3" t="s">
        <v>8</v>
      </c>
      <c r="G29" s="3" t="s">
        <v>18</v>
      </c>
      <c r="H29" s="3" t="s">
        <v>10</v>
      </c>
      <c r="I29" s="3">
        <v>9</v>
      </c>
      <c r="J29" s="3">
        <v>70000</v>
      </c>
      <c r="K29" s="3">
        <f t="shared" si="0"/>
        <v>630000</v>
      </c>
    </row>
    <row r="30" spans="5:11" ht="28.8" hidden="1" x14ac:dyDescent="0.3">
      <c r="E30" s="2">
        <v>45313</v>
      </c>
      <c r="F30" s="3" t="s">
        <v>14</v>
      </c>
      <c r="G30" s="3" t="s">
        <v>21</v>
      </c>
      <c r="H30" s="3" t="s">
        <v>13</v>
      </c>
      <c r="I30" s="3">
        <v>8</v>
      </c>
      <c r="J30" s="3">
        <v>50000</v>
      </c>
      <c r="K30" s="3">
        <f t="shared" si="0"/>
        <v>400000</v>
      </c>
    </row>
    <row r="31" spans="5:11" ht="28.8" hidden="1" x14ac:dyDescent="0.3">
      <c r="E31" s="2">
        <v>45314</v>
      </c>
      <c r="F31" s="3" t="s">
        <v>17</v>
      </c>
      <c r="G31" s="3" t="s">
        <v>23</v>
      </c>
      <c r="H31" s="3" t="s">
        <v>16</v>
      </c>
      <c r="I31" s="3">
        <v>14</v>
      </c>
      <c r="J31" s="3">
        <v>20000</v>
      </c>
      <c r="K31" s="3">
        <f t="shared" si="0"/>
        <v>280000</v>
      </c>
    </row>
    <row r="32" spans="5:11" ht="28.8" hidden="1" x14ac:dyDescent="0.3">
      <c r="E32" s="2">
        <v>45315</v>
      </c>
      <c r="F32" s="3" t="s">
        <v>20</v>
      </c>
      <c r="G32" s="3" t="s">
        <v>15</v>
      </c>
      <c r="H32" s="3" t="s">
        <v>19</v>
      </c>
      <c r="I32" s="3">
        <v>7</v>
      </c>
      <c r="J32" s="3">
        <v>30000</v>
      </c>
      <c r="K32" s="3">
        <f t="shared" si="0"/>
        <v>210000</v>
      </c>
    </row>
    <row r="33" spans="5:11" ht="28.8" hidden="1" x14ac:dyDescent="0.3">
      <c r="E33" s="2">
        <v>45316</v>
      </c>
      <c r="F33" s="3" t="s">
        <v>22</v>
      </c>
      <c r="G33" s="3" t="s">
        <v>18</v>
      </c>
      <c r="H33" s="3" t="s">
        <v>10</v>
      </c>
      <c r="I33" s="3">
        <v>10</v>
      </c>
      <c r="J33" s="3">
        <v>70000</v>
      </c>
      <c r="K33" s="3">
        <f t="shared" si="0"/>
        <v>700000</v>
      </c>
    </row>
    <row r="34" spans="5:11" ht="28.8" hidden="1" x14ac:dyDescent="0.3">
      <c r="E34" s="2">
        <v>45317</v>
      </c>
      <c r="F34" s="3" t="s">
        <v>11</v>
      </c>
      <c r="G34" s="3" t="s">
        <v>9</v>
      </c>
      <c r="H34" s="3" t="s">
        <v>13</v>
      </c>
      <c r="I34" s="3">
        <v>5</v>
      </c>
      <c r="J34" s="3">
        <v>50000</v>
      </c>
      <c r="K34" s="3">
        <f t="shared" si="0"/>
        <v>250000</v>
      </c>
    </row>
    <row r="35" spans="5:11" hidden="1" x14ac:dyDescent="0.3">
      <c r="E35" s="2">
        <v>45318</v>
      </c>
      <c r="F35" s="3" t="s">
        <v>8</v>
      </c>
      <c r="G35" s="3" t="s">
        <v>12</v>
      </c>
      <c r="H35" s="3" t="s">
        <v>16</v>
      </c>
      <c r="I35" s="3">
        <v>8</v>
      </c>
      <c r="J35" s="3">
        <v>20000</v>
      </c>
      <c r="K35" s="3">
        <f t="shared" si="0"/>
        <v>160000</v>
      </c>
    </row>
    <row r="36" spans="5:11" ht="28.8" hidden="1" x14ac:dyDescent="0.3">
      <c r="E36" s="2">
        <v>45319</v>
      </c>
      <c r="F36" s="3" t="s">
        <v>17</v>
      </c>
      <c r="G36" s="3" t="s">
        <v>15</v>
      </c>
      <c r="H36" s="3" t="s">
        <v>19</v>
      </c>
      <c r="I36" s="3">
        <v>6</v>
      </c>
      <c r="J36" s="3">
        <v>30000</v>
      </c>
      <c r="K36" s="3">
        <f t="shared" si="0"/>
        <v>180000</v>
      </c>
    </row>
    <row r="37" spans="5:11" ht="28.8" hidden="1" x14ac:dyDescent="0.3">
      <c r="E37" s="2">
        <v>45320</v>
      </c>
      <c r="F37" s="3" t="s">
        <v>20</v>
      </c>
      <c r="G37" s="3" t="s">
        <v>18</v>
      </c>
      <c r="H37" s="3" t="s">
        <v>10</v>
      </c>
      <c r="I37" s="3">
        <v>7</v>
      </c>
      <c r="J37" s="3">
        <v>70000</v>
      </c>
      <c r="K37" s="3">
        <f t="shared" si="0"/>
        <v>490000</v>
      </c>
    </row>
    <row r="38" spans="5:11" ht="28.8" hidden="1" x14ac:dyDescent="0.3">
      <c r="E38" s="2">
        <v>45323</v>
      </c>
      <c r="F38" s="3" t="s">
        <v>22</v>
      </c>
      <c r="G38" s="3" t="s">
        <v>21</v>
      </c>
      <c r="H38" s="3" t="s">
        <v>10</v>
      </c>
      <c r="I38" s="3">
        <v>8</v>
      </c>
      <c r="J38" s="3">
        <v>70000</v>
      </c>
      <c r="K38" s="3">
        <f t="shared" si="0"/>
        <v>560000</v>
      </c>
    </row>
    <row r="39" spans="5:11" ht="28.8" hidden="1" x14ac:dyDescent="0.3">
      <c r="E39" s="2">
        <v>45324</v>
      </c>
      <c r="F39" s="3" t="s">
        <v>11</v>
      </c>
      <c r="G39" s="3" t="s">
        <v>23</v>
      </c>
      <c r="H39" s="3" t="s">
        <v>13</v>
      </c>
      <c r="I39" s="3">
        <v>6</v>
      </c>
      <c r="J39" s="3">
        <v>50000</v>
      </c>
      <c r="K39" s="3">
        <f t="shared" si="0"/>
        <v>300000</v>
      </c>
    </row>
    <row r="40" spans="5:11" ht="28.8" hidden="1" x14ac:dyDescent="0.3">
      <c r="E40" s="2">
        <v>45325</v>
      </c>
      <c r="F40" s="3" t="s">
        <v>14</v>
      </c>
      <c r="G40" s="3" t="s">
        <v>15</v>
      </c>
      <c r="H40" s="3" t="s">
        <v>16</v>
      </c>
      <c r="I40" s="3">
        <v>10</v>
      </c>
      <c r="J40" s="3">
        <v>20000</v>
      </c>
      <c r="K40" s="3">
        <f t="shared" si="0"/>
        <v>200000</v>
      </c>
    </row>
    <row r="41" spans="5:11" ht="28.8" x14ac:dyDescent="0.3">
      <c r="E41" s="2">
        <v>45326</v>
      </c>
      <c r="F41" s="3" t="s">
        <v>17</v>
      </c>
      <c r="G41" s="3" t="s">
        <v>9</v>
      </c>
      <c r="H41" s="3" t="s">
        <v>19</v>
      </c>
      <c r="I41" s="3">
        <v>20</v>
      </c>
      <c r="J41" s="3">
        <v>30000</v>
      </c>
      <c r="K41" s="3">
        <f t="shared" si="0"/>
        <v>600000</v>
      </c>
    </row>
    <row r="42" spans="5:11" ht="28.8" hidden="1" x14ac:dyDescent="0.3">
      <c r="E42" s="2">
        <v>45327</v>
      </c>
      <c r="F42" s="3" t="s">
        <v>8</v>
      </c>
      <c r="G42" s="3" t="s">
        <v>21</v>
      </c>
      <c r="H42" s="3" t="s">
        <v>10</v>
      </c>
      <c r="I42" s="3">
        <v>4</v>
      </c>
      <c r="J42" s="3">
        <v>70000</v>
      </c>
      <c r="K42" s="3">
        <f t="shared" si="0"/>
        <v>280000</v>
      </c>
    </row>
    <row r="43" spans="5:11" ht="28.8" hidden="1" x14ac:dyDescent="0.3">
      <c r="E43" s="2">
        <v>45328</v>
      </c>
      <c r="F43" s="3" t="s">
        <v>22</v>
      </c>
      <c r="G43" s="3" t="s">
        <v>23</v>
      </c>
      <c r="H43" s="3" t="s">
        <v>13</v>
      </c>
      <c r="I43" s="3">
        <v>9</v>
      </c>
      <c r="J43" s="3">
        <v>50000</v>
      </c>
      <c r="K43" s="3">
        <f t="shared" si="0"/>
        <v>450000</v>
      </c>
    </row>
    <row r="44" spans="5:11" ht="28.8" hidden="1" x14ac:dyDescent="0.3">
      <c r="E44" s="2">
        <v>45329</v>
      </c>
      <c r="F44" s="3" t="s">
        <v>11</v>
      </c>
      <c r="G44" s="3" t="s">
        <v>21</v>
      </c>
      <c r="H44" s="3" t="s">
        <v>16</v>
      </c>
      <c r="I44" s="3">
        <v>5</v>
      </c>
      <c r="J44" s="3">
        <v>20000</v>
      </c>
      <c r="K44" s="3">
        <f t="shared" si="0"/>
        <v>100000</v>
      </c>
    </row>
    <row r="45" spans="5:11" ht="28.8" hidden="1" x14ac:dyDescent="0.3">
      <c r="E45" s="2">
        <v>45330</v>
      </c>
      <c r="F45" s="3" t="s">
        <v>8</v>
      </c>
      <c r="G45" s="3" t="s">
        <v>23</v>
      </c>
      <c r="H45" s="3" t="s">
        <v>19</v>
      </c>
      <c r="I45" s="3">
        <v>15</v>
      </c>
      <c r="J45" s="3">
        <v>30000</v>
      </c>
      <c r="K45" s="3">
        <f t="shared" si="0"/>
        <v>450000</v>
      </c>
    </row>
    <row r="46" spans="5:11" ht="28.8" hidden="1" x14ac:dyDescent="0.3">
      <c r="E46" s="2">
        <v>45331</v>
      </c>
      <c r="F46" s="3" t="s">
        <v>17</v>
      </c>
      <c r="G46" s="3" t="s">
        <v>15</v>
      </c>
      <c r="H46" s="3" t="s">
        <v>10</v>
      </c>
      <c r="I46" s="3">
        <v>7</v>
      </c>
      <c r="J46" s="3">
        <v>70000</v>
      </c>
      <c r="K46" s="3">
        <f t="shared" si="0"/>
        <v>490000</v>
      </c>
    </row>
    <row r="47" spans="5:11" ht="28.8" hidden="1" x14ac:dyDescent="0.3">
      <c r="E47" s="2">
        <v>45332</v>
      </c>
      <c r="F47" s="3" t="s">
        <v>20</v>
      </c>
      <c r="G47" s="3" t="s">
        <v>18</v>
      </c>
      <c r="H47" s="3" t="s">
        <v>13</v>
      </c>
      <c r="I47" s="3">
        <v>11</v>
      </c>
      <c r="J47" s="3">
        <v>50000</v>
      </c>
      <c r="K47" s="3">
        <f t="shared" si="0"/>
        <v>550000</v>
      </c>
    </row>
    <row r="48" spans="5:11" ht="28.8" hidden="1" x14ac:dyDescent="0.3">
      <c r="E48" s="2">
        <v>45333</v>
      </c>
      <c r="F48" s="3" t="s">
        <v>22</v>
      </c>
      <c r="G48" s="3" t="s">
        <v>9</v>
      </c>
      <c r="H48" s="3" t="s">
        <v>16</v>
      </c>
      <c r="I48" s="3">
        <v>12</v>
      </c>
      <c r="J48" s="3">
        <v>20000</v>
      </c>
      <c r="K48" s="3">
        <f t="shared" si="0"/>
        <v>240000</v>
      </c>
    </row>
    <row r="49" spans="5:11" ht="28.8" x14ac:dyDescent="0.3">
      <c r="E49" s="2">
        <v>45334</v>
      </c>
      <c r="F49" s="3" t="s">
        <v>11</v>
      </c>
      <c r="G49" s="3" t="s">
        <v>9</v>
      </c>
      <c r="H49" s="3" t="s">
        <v>19</v>
      </c>
      <c r="I49" s="3">
        <v>10</v>
      </c>
      <c r="J49" s="3">
        <v>30000</v>
      </c>
      <c r="K49" s="3">
        <f t="shared" si="0"/>
        <v>300000</v>
      </c>
    </row>
    <row r="50" spans="5:11" hidden="1" x14ac:dyDescent="0.3">
      <c r="E50" s="2">
        <v>45335</v>
      </c>
      <c r="F50" s="3" t="s">
        <v>14</v>
      </c>
      <c r="G50" s="3" t="s">
        <v>12</v>
      </c>
      <c r="H50" s="3" t="s">
        <v>10</v>
      </c>
      <c r="I50" s="3">
        <v>9</v>
      </c>
      <c r="J50" s="3">
        <v>70000</v>
      </c>
      <c r="K50" s="3">
        <f t="shared" si="0"/>
        <v>630000</v>
      </c>
    </row>
    <row r="51" spans="5:11" ht="28.8" hidden="1" x14ac:dyDescent="0.3">
      <c r="E51" s="2">
        <v>45336</v>
      </c>
      <c r="F51" s="3" t="s">
        <v>17</v>
      </c>
      <c r="G51" s="3" t="s">
        <v>15</v>
      </c>
      <c r="H51" s="3" t="s">
        <v>13</v>
      </c>
      <c r="I51" s="3">
        <v>8</v>
      </c>
      <c r="J51" s="3">
        <v>50000</v>
      </c>
      <c r="K51" s="3">
        <f t="shared" si="0"/>
        <v>400000</v>
      </c>
    </row>
    <row r="52" spans="5:11" ht="28.8" hidden="1" x14ac:dyDescent="0.3">
      <c r="E52" s="2">
        <v>45337</v>
      </c>
      <c r="F52" s="3" t="s">
        <v>20</v>
      </c>
      <c r="G52" s="3" t="s">
        <v>18</v>
      </c>
      <c r="H52" s="3" t="s">
        <v>16</v>
      </c>
      <c r="I52" s="3">
        <v>11</v>
      </c>
      <c r="J52" s="3">
        <v>20000</v>
      </c>
      <c r="K52" s="3">
        <f t="shared" si="0"/>
        <v>220000</v>
      </c>
    </row>
    <row r="53" spans="5:11" ht="28.8" hidden="1" x14ac:dyDescent="0.3">
      <c r="E53" s="2">
        <v>45338</v>
      </c>
      <c r="F53" s="3" t="s">
        <v>8</v>
      </c>
      <c r="G53" s="3" t="s">
        <v>21</v>
      </c>
      <c r="H53" s="3" t="s">
        <v>19</v>
      </c>
      <c r="I53" s="3">
        <v>14</v>
      </c>
      <c r="J53" s="3">
        <v>30000</v>
      </c>
      <c r="K53" s="3">
        <f t="shared" si="0"/>
        <v>420000</v>
      </c>
    </row>
    <row r="54" spans="5:11" ht="28.8" hidden="1" x14ac:dyDescent="0.3">
      <c r="E54" s="2">
        <v>45339</v>
      </c>
      <c r="F54" s="3" t="s">
        <v>11</v>
      </c>
      <c r="G54" s="3" t="s">
        <v>23</v>
      </c>
      <c r="H54" s="3" t="s">
        <v>10</v>
      </c>
      <c r="I54" s="3">
        <v>10</v>
      </c>
      <c r="J54" s="3">
        <v>70000</v>
      </c>
      <c r="K54" s="3">
        <f t="shared" si="0"/>
        <v>700000</v>
      </c>
    </row>
    <row r="55" spans="5:11" ht="28.8" hidden="1" x14ac:dyDescent="0.3">
      <c r="E55" s="2">
        <v>45340</v>
      </c>
      <c r="F55" s="3" t="s">
        <v>14</v>
      </c>
      <c r="G55" s="3" t="s">
        <v>15</v>
      </c>
      <c r="H55" s="3" t="s">
        <v>13</v>
      </c>
      <c r="I55" s="3">
        <v>9</v>
      </c>
      <c r="J55" s="3">
        <v>50000</v>
      </c>
      <c r="K55" s="3">
        <f t="shared" si="0"/>
        <v>450000</v>
      </c>
    </row>
    <row r="56" spans="5:11" ht="28.8" hidden="1" x14ac:dyDescent="0.3">
      <c r="E56" s="2">
        <v>45341</v>
      </c>
      <c r="F56" s="3" t="s">
        <v>17</v>
      </c>
      <c r="G56" s="3" t="s">
        <v>18</v>
      </c>
      <c r="H56" s="3" t="s">
        <v>16</v>
      </c>
      <c r="I56" s="3">
        <v>13</v>
      </c>
      <c r="J56" s="3">
        <v>20000</v>
      </c>
      <c r="K56" s="3">
        <f t="shared" si="0"/>
        <v>260000</v>
      </c>
    </row>
    <row r="57" spans="5:11" ht="28.8" hidden="1" x14ac:dyDescent="0.3">
      <c r="E57" s="2">
        <v>45342</v>
      </c>
      <c r="F57" s="3" t="s">
        <v>20</v>
      </c>
      <c r="G57" s="3" t="s">
        <v>21</v>
      </c>
      <c r="H57" s="3" t="s">
        <v>19</v>
      </c>
      <c r="I57" s="3">
        <v>8</v>
      </c>
      <c r="J57" s="3">
        <v>30000</v>
      </c>
      <c r="K57" s="3">
        <f t="shared" si="0"/>
        <v>240000</v>
      </c>
    </row>
    <row r="58" spans="5:11" ht="28.8" hidden="1" x14ac:dyDescent="0.3">
      <c r="E58" s="2">
        <v>45343</v>
      </c>
      <c r="F58" s="3" t="s">
        <v>22</v>
      </c>
      <c r="G58" s="3" t="s">
        <v>23</v>
      </c>
      <c r="H58" s="3" t="s">
        <v>10</v>
      </c>
      <c r="I58" s="3">
        <v>12</v>
      </c>
      <c r="J58" s="3">
        <v>70000</v>
      </c>
      <c r="K58" s="3">
        <f t="shared" si="0"/>
        <v>840000</v>
      </c>
    </row>
    <row r="59" spans="5:11" ht="28.8" hidden="1" x14ac:dyDescent="0.3">
      <c r="E59" s="2">
        <v>45344</v>
      </c>
      <c r="F59" s="3" t="s">
        <v>11</v>
      </c>
      <c r="G59" s="3" t="s">
        <v>15</v>
      </c>
      <c r="H59" s="3" t="s">
        <v>13</v>
      </c>
      <c r="I59" s="3">
        <v>7</v>
      </c>
      <c r="J59" s="3">
        <v>50000</v>
      </c>
      <c r="K59" s="3">
        <f t="shared" si="0"/>
        <v>350000</v>
      </c>
    </row>
    <row r="60" spans="5:11" ht="28.8" hidden="1" x14ac:dyDescent="0.3">
      <c r="E60" s="2">
        <v>45345</v>
      </c>
      <c r="F60" s="3" t="s">
        <v>14</v>
      </c>
      <c r="G60" s="3" t="s">
        <v>18</v>
      </c>
      <c r="H60" s="3" t="s">
        <v>16</v>
      </c>
      <c r="I60" s="3">
        <v>9</v>
      </c>
      <c r="J60" s="3">
        <v>20000</v>
      </c>
      <c r="K60" s="3">
        <f t="shared" si="0"/>
        <v>180000</v>
      </c>
    </row>
    <row r="61" spans="5:11" ht="28.8" x14ac:dyDescent="0.3">
      <c r="E61" s="2">
        <v>45346</v>
      </c>
      <c r="F61" s="3" t="s">
        <v>8</v>
      </c>
      <c r="G61" s="3" t="s">
        <v>9</v>
      </c>
      <c r="H61" s="3" t="s">
        <v>19</v>
      </c>
      <c r="I61" s="3">
        <v>12</v>
      </c>
      <c r="J61" s="3">
        <v>30000</v>
      </c>
      <c r="K61" s="3">
        <f t="shared" si="0"/>
        <v>360000</v>
      </c>
    </row>
    <row r="62" spans="5:11" hidden="1" x14ac:dyDescent="0.3">
      <c r="E62" s="2">
        <v>45347</v>
      </c>
      <c r="F62" s="3" t="s">
        <v>20</v>
      </c>
      <c r="G62" s="3" t="s">
        <v>12</v>
      </c>
      <c r="H62" s="3" t="s">
        <v>10</v>
      </c>
      <c r="I62" s="3">
        <v>5</v>
      </c>
      <c r="J62" s="3">
        <v>70000</v>
      </c>
      <c r="K62" s="3">
        <f t="shared" si="0"/>
        <v>350000</v>
      </c>
    </row>
    <row r="63" spans="5:11" ht="28.8" hidden="1" x14ac:dyDescent="0.3">
      <c r="E63" s="2">
        <v>45352</v>
      </c>
      <c r="F63" s="3" t="s">
        <v>22</v>
      </c>
      <c r="G63" s="3" t="s">
        <v>9</v>
      </c>
      <c r="H63" s="3" t="s">
        <v>10</v>
      </c>
      <c r="I63" s="3">
        <v>12</v>
      </c>
      <c r="J63" s="3">
        <v>70000</v>
      </c>
      <c r="K63" s="3">
        <f t="shared" si="0"/>
        <v>840000</v>
      </c>
    </row>
    <row r="64" spans="5:11" ht="28.8" hidden="1" x14ac:dyDescent="0.3">
      <c r="E64" s="2">
        <v>45353</v>
      </c>
      <c r="F64" s="3" t="s">
        <v>11</v>
      </c>
      <c r="G64" s="3" t="s">
        <v>9</v>
      </c>
      <c r="H64" s="3" t="s">
        <v>13</v>
      </c>
      <c r="I64" s="3">
        <v>8</v>
      </c>
      <c r="J64" s="3">
        <v>50000</v>
      </c>
      <c r="K64" s="3">
        <f t="shared" si="0"/>
        <v>400000</v>
      </c>
    </row>
    <row r="65" spans="5:11" ht="28.8" hidden="1" x14ac:dyDescent="0.3">
      <c r="E65" s="2">
        <v>45354</v>
      </c>
      <c r="F65" s="3" t="s">
        <v>14</v>
      </c>
      <c r="G65" s="3" t="s">
        <v>21</v>
      </c>
      <c r="H65" s="3" t="s">
        <v>16</v>
      </c>
      <c r="I65" s="3">
        <v>7</v>
      </c>
      <c r="J65" s="3">
        <v>20000</v>
      </c>
      <c r="K65" s="3">
        <f t="shared" si="0"/>
        <v>140000</v>
      </c>
    </row>
    <row r="66" spans="5:11" ht="28.8" hidden="1" x14ac:dyDescent="0.3">
      <c r="E66" s="2">
        <v>45355</v>
      </c>
      <c r="F66" s="3" t="s">
        <v>17</v>
      </c>
      <c r="G66" s="3" t="s">
        <v>23</v>
      </c>
      <c r="H66" s="3" t="s">
        <v>19</v>
      </c>
      <c r="I66" s="3">
        <v>9</v>
      </c>
      <c r="J66" s="3">
        <v>30000</v>
      </c>
      <c r="K66" s="3">
        <f t="shared" si="0"/>
        <v>270000</v>
      </c>
    </row>
    <row r="67" spans="5:11" ht="28.8" hidden="1" x14ac:dyDescent="0.3">
      <c r="E67" s="2">
        <v>45356</v>
      </c>
      <c r="F67" s="3" t="s">
        <v>20</v>
      </c>
      <c r="G67" s="3" t="s">
        <v>21</v>
      </c>
      <c r="H67" s="3" t="s">
        <v>10</v>
      </c>
      <c r="I67" s="3">
        <v>6</v>
      </c>
      <c r="J67" s="3">
        <v>70000</v>
      </c>
      <c r="K67" s="3">
        <f t="shared" si="0"/>
        <v>420000</v>
      </c>
    </row>
    <row r="68" spans="5:11" ht="28.8" hidden="1" x14ac:dyDescent="0.3">
      <c r="E68" s="2">
        <v>45357</v>
      </c>
      <c r="F68" s="3" t="s">
        <v>8</v>
      </c>
      <c r="G68" s="3" t="s">
        <v>23</v>
      </c>
      <c r="H68" s="3" t="s">
        <v>13</v>
      </c>
      <c r="I68" s="3">
        <v>10</v>
      </c>
      <c r="J68" s="3">
        <v>50000</v>
      </c>
      <c r="K68" s="3">
        <f t="shared" si="0"/>
        <v>500000</v>
      </c>
    </row>
    <row r="69" spans="5:11" ht="28.8" hidden="1" x14ac:dyDescent="0.3">
      <c r="E69" s="2">
        <v>45358</v>
      </c>
      <c r="F69" s="3" t="s">
        <v>11</v>
      </c>
      <c r="G69" s="3" t="s">
        <v>15</v>
      </c>
      <c r="H69" s="3" t="s">
        <v>16</v>
      </c>
      <c r="I69" s="3">
        <v>8</v>
      </c>
      <c r="J69" s="3">
        <v>20000</v>
      </c>
      <c r="K69" s="3">
        <f t="shared" si="0"/>
        <v>160000</v>
      </c>
    </row>
    <row r="70" spans="5:11" ht="28.8" hidden="1" x14ac:dyDescent="0.3">
      <c r="E70" s="2">
        <v>45359</v>
      </c>
      <c r="F70" s="3" t="s">
        <v>8</v>
      </c>
      <c r="G70" s="3" t="s">
        <v>18</v>
      </c>
      <c r="H70" s="3" t="s">
        <v>19</v>
      </c>
      <c r="I70" s="3">
        <v>13</v>
      </c>
      <c r="J70" s="3">
        <v>30000</v>
      </c>
      <c r="K70" s="3">
        <f t="shared" si="0"/>
        <v>390000</v>
      </c>
    </row>
    <row r="71" spans="5:11" ht="28.8" hidden="1" x14ac:dyDescent="0.3">
      <c r="E71" s="2">
        <v>45360</v>
      </c>
      <c r="F71" s="3" t="s">
        <v>17</v>
      </c>
      <c r="G71" s="3" t="s">
        <v>9</v>
      </c>
      <c r="H71" s="3" t="s">
        <v>10</v>
      </c>
      <c r="I71" s="3">
        <v>9</v>
      </c>
      <c r="J71" s="3">
        <v>70000</v>
      </c>
      <c r="K71" s="3">
        <f t="shared" si="0"/>
        <v>630000</v>
      </c>
    </row>
    <row r="72" spans="5:11" ht="28.8" hidden="1" x14ac:dyDescent="0.3">
      <c r="E72" s="2">
        <v>45361</v>
      </c>
      <c r="F72" s="3" t="s">
        <v>20</v>
      </c>
      <c r="G72" s="3" t="s">
        <v>15</v>
      </c>
      <c r="H72" s="3" t="s">
        <v>13</v>
      </c>
      <c r="I72" s="3">
        <v>5</v>
      </c>
      <c r="J72" s="3">
        <v>50000</v>
      </c>
      <c r="K72" s="3">
        <f t="shared" si="0"/>
        <v>250000</v>
      </c>
    </row>
    <row r="73" spans="5:11" hidden="1" x14ac:dyDescent="0.3">
      <c r="E73" s="2">
        <v>45362</v>
      </c>
      <c r="F73" s="3" t="s">
        <v>22</v>
      </c>
      <c r="G73" s="3" t="s">
        <v>12</v>
      </c>
      <c r="H73" s="3" t="s">
        <v>16</v>
      </c>
      <c r="I73" s="3">
        <v>11</v>
      </c>
      <c r="J73" s="3">
        <v>20000</v>
      </c>
      <c r="K73" s="3">
        <f t="shared" si="0"/>
        <v>220000</v>
      </c>
    </row>
    <row r="74" spans="5:11" ht="28.8" hidden="1" x14ac:dyDescent="0.3">
      <c r="E74" s="2">
        <v>45363</v>
      </c>
      <c r="F74" s="3" t="s">
        <v>11</v>
      </c>
      <c r="G74" s="3" t="s">
        <v>15</v>
      </c>
      <c r="H74" s="3" t="s">
        <v>19</v>
      </c>
      <c r="I74" s="3">
        <v>14</v>
      </c>
      <c r="J74" s="3">
        <v>30000</v>
      </c>
      <c r="K74" s="3">
        <f t="shared" si="0"/>
        <v>420000</v>
      </c>
    </row>
    <row r="75" spans="5:11" ht="28.8" hidden="1" x14ac:dyDescent="0.3">
      <c r="E75" s="2">
        <v>45364</v>
      </c>
      <c r="F75" s="3" t="s">
        <v>14</v>
      </c>
      <c r="G75" s="3" t="s">
        <v>18</v>
      </c>
      <c r="H75" s="3" t="s">
        <v>10</v>
      </c>
      <c r="I75" s="3">
        <v>10</v>
      </c>
      <c r="J75" s="3">
        <v>70000</v>
      </c>
      <c r="K75" s="3">
        <f t="shared" si="0"/>
        <v>700000</v>
      </c>
    </row>
    <row r="76" spans="5:11" ht="28.8" hidden="1" x14ac:dyDescent="0.3">
      <c r="E76" s="2">
        <v>45365</v>
      </c>
      <c r="F76" s="3" t="s">
        <v>17</v>
      </c>
      <c r="G76" s="3" t="s">
        <v>21</v>
      </c>
      <c r="H76" s="3" t="s">
        <v>13</v>
      </c>
      <c r="I76" s="3">
        <v>6</v>
      </c>
      <c r="J76" s="3">
        <v>50000</v>
      </c>
      <c r="K76" s="3">
        <f t="shared" si="0"/>
        <v>300000</v>
      </c>
    </row>
    <row r="77" spans="5:11" ht="28.8" hidden="1" x14ac:dyDescent="0.3">
      <c r="E77" s="2">
        <v>45366</v>
      </c>
      <c r="F77" s="3" t="s">
        <v>8</v>
      </c>
      <c r="G77" s="3" t="s">
        <v>23</v>
      </c>
      <c r="H77" s="3" t="s">
        <v>16</v>
      </c>
      <c r="I77" s="3">
        <v>8</v>
      </c>
      <c r="J77" s="3">
        <v>20000</v>
      </c>
      <c r="K77" s="3">
        <f t="shared" si="0"/>
        <v>160000</v>
      </c>
    </row>
    <row r="78" spans="5:11" ht="28.8" hidden="1" x14ac:dyDescent="0.3">
      <c r="E78" s="2">
        <v>45367</v>
      </c>
      <c r="F78" s="3" t="s">
        <v>22</v>
      </c>
      <c r="G78" s="3" t="s">
        <v>15</v>
      </c>
      <c r="H78" s="3" t="s">
        <v>19</v>
      </c>
      <c r="I78" s="3">
        <v>12</v>
      </c>
      <c r="J78" s="3">
        <v>30000</v>
      </c>
      <c r="K78" s="3">
        <f t="shared" ref="K78:K88" si="1">I78*J78</f>
        <v>360000</v>
      </c>
    </row>
    <row r="79" spans="5:11" ht="28.8" hidden="1" x14ac:dyDescent="0.3">
      <c r="E79" s="2">
        <v>45368</v>
      </c>
      <c r="F79" s="3" t="s">
        <v>11</v>
      </c>
      <c r="G79" s="3" t="s">
        <v>18</v>
      </c>
      <c r="H79" s="3" t="s">
        <v>10</v>
      </c>
      <c r="I79" s="3">
        <v>9</v>
      </c>
      <c r="J79" s="3">
        <v>70000</v>
      </c>
      <c r="K79" s="3">
        <f t="shared" si="1"/>
        <v>630000</v>
      </c>
    </row>
    <row r="80" spans="5:11" hidden="1" x14ac:dyDescent="0.3">
      <c r="E80" s="2">
        <v>45369</v>
      </c>
      <c r="F80" s="3" t="s">
        <v>8</v>
      </c>
      <c r="G80" s="3" t="s">
        <v>12</v>
      </c>
      <c r="H80" s="3" t="s">
        <v>13</v>
      </c>
      <c r="I80" s="3">
        <v>7</v>
      </c>
      <c r="J80" s="3">
        <v>50000</v>
      </c>
      <c r="K80" s="3">
        <f t="shared" si="1"/>
        <v>350000</v>
      </c>
    </row>
    <row r="81" spans="5:11" ht="28.8" hidden="1" x14ac:dyDescent="0.3">
      <c r="E81" s="2">
        <v>45370</v>
      </c>
      <c r="F81" s="3" t="s">
        <v>17</v>
      </c>
      <c r="G81" s="3" t="s">
        <v>15</v>
      </c>
      <c r="H81" s="3" t="s">
        <v>16</v>
      </c>
      <c r="I81" s="3">
        <v>14</v>
      </c>
      <c r="J81" s="3">
        <v>20000</v>
      </c>
      <c r="K81" s="3">
        <f>I81*J81</f>
        <v>280000</v>
      </c>
    </row>
    <row r="82" spans="5:11" ht="28.8" hidden="1" x14ac:dyDescent="0.3">
      <c r="E82" s="2">
        <v>45371</v>
      </c>
      <c r="F82" s="3" t="s">
        <v>20</v>
      </c>
      <c r="G82" s="3" t="s">
        <v>18</v>
      </c>
      <c r="H82" s="3" t="s">
        <v>19</v>
      </c>
      <c r="I82" s="3">
        <v>8</v>
      </c>
      <c r="J82" s="3">
        <v>30000</v>
      </c>
      <c r="K82" s="3">
        <f t="shared" si="1"/>
        <v>240000</v>
      </c>
    </row>
    <row r="83" spans="5:11" ht="28.8" hidden="1" x14ac:dyDescent="0.3">
      <c r="E83" s="2">
        <v>45372</v>
      </c>
      <c r="F83" s="3" t="s">
        <v>22</v>
      </c>
      <c r="G83" s="3" t="s">
        <v>21</v>
      </c>
      <c r="H83" s="3" t="s">
        <v>10</v>
      </c>
      <c r="I83" s="3">
        <v>11</v>
      </c>
      <c r="J83" s="3">
        <v>70000</v>
      </c>
      <c r="K83" s="3">
        <f t="shared" si="1"/>
        <v>770000</v>
      </c>
    </row>
    <row r="84" spans="5:11" ht="28.8" hidden="1" x14ac:dyDescent="0.3">
      <c r="E84" s="2">
        <v>45373</v>
      </c>
      <c r="F84" s="3" t="s">
        <v>8</v>
      </c>
      <c r="G84" s="3" t="s">
        <v>23</v>
      </c>
      <c r="H84" s="3" t="s">
        <v>13</v>
      </c>
      <c r="I84" s="3">
        <v>5</v>
      </c>
      <c r="J84" s="3">
        <v>50000</v>
      </c>
      <c r="K84" s="3">
        <f t="shared" si="1"/>
        <v>250000</v>
      </c>
    </row>
    <row r="85" spans="5:11" ht="28.8" hidden="1" x14ac:dyDescent="0.3">
      <c r="E85" s="2">
        <v>45374</v>
      </c>
      <c r="F85" s="3" t="s">
        <v>14</v>
      </c>
      <c r="G85" s="3" t="s">
        <v>15</v>
      </c>
      <c r="H85" s="3" t="s">
        <v>16</v>
      </c>
      <c r="I85" s="3">
        <v>10</v>
      </c>
      <c r="J85" s="3">
        <v>20000</v>
      </c>
      <c r="K85" s="3">
        <f t="shared" si="1"/>
        <v>200000</v>
      </c>
    </row>
    <row r="86" spans="5:11" ht="28.8" hidden="1" x14ac:dyDescent="0.3">
      <c r="E86" s="2">
        <v>45375</v>
      </c>
      <c r="F86" s="3" t="s">
        <v>17</v>
      </c>
      <c r="G86" s="3" t="s">
        <v>18</v>
      </c>
      <c r="H86" s="3" t="s">
        <v>19</v>
      </c>
      <c r="I86" s="3">
        <v>9</v>
      </c>
      <c r="J86" s="3">
        <v>30000</v>
      </c>
      <c r="K86" s="3">
        <f t="shared" si="1"/>
        <v>270000</v>
      </c>
    </row>
    <row r="87" spans="5:11" ht="28.8" hidden="1" x14ac:dyDescent="0.3">
      <c r="E87" s="2">
        <v>45376</v>
      </c>
      <c r="F87" s="3" t="s">
        <v>20</v>
      </c>
      <c r="G87" s="3" t="s">
        <v>23</v>
      </c>
      <c r="H87" s="3" t="s">
        <v>10</v>
      </c>
      <c r="I87" s="3">
        <v>10</v>
      </c>
      <c r="J87" s="3">
        <v>70000</v>
      </c>
      <c r="K87" s="3">
        <f t="shared" si="1"/>
        <v>700000</v>
      </c>
    </row>
    <row r="88" spans="5:11" ht="28.8" hidden="1" x14ac:dyDescent="0.3">
      <c r="E88" s="2">
        <v>45381</v>
      </c>
      <c r="F88" s="3" t="s">
        <v>8</v>
      </c>
      <c r="G88" s="3" t="s">
        <v>18</v>
      </c>
      <c r="H88" s="3" t="s">
        <v>19</v>
      </c>
      <c r="I88" s="3">
        <v>5</v>
      </c>
      <c r="J88" s="3">
        <v>30000</v>
      </c>
      <c r="K88" s="3">
        <f t="shared" si="1"/>
        <v>150000</v>
      </c>
    </row>
    <row r="89" spans="5:11" ht="28.8" x14ac:dyDescent="0.3">
      <c r="E89" s="8" t="s">
        <v>29</v>
      </c>
      <c r="I89" s="9">
        <f>I41+I49+I61</f>
        <v>42</v>
      </c>
    </row>
  </sheetData>
  <autoFilter ref="E12:K88" xr:uid="{164958AE-4B35-44FA-9952-6FDE47D724F1}">
    <filterColumn colId="2">
      <filters>
        <filter val="Arif Hossain"/>
      </filters>
    </filterColumn>
    <filterColumn colId="3">
      <filters>
        <filter val="Smartphone"/>
      </filters>
    </filterColumn>
  </autoFilter>
  <mergeCells count="1">
    <mergeCell ref="E10:K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F681-D010-41BC-88C1-0A1A78EBA1DB}">
  <dimension ref="C4:P16"/>
  <sheetViews>
    <sheetView workbookViewId="0">
      <selection activeCell="J5" sqref="J5"/>
    </sheetView>
  </sheetViews>
  <sheetFormatPr defaultRowHeight="14.4" x14ac:dyDescent="0.3"/>
  <sheetData>
    <row r="4" spans="3:16" x14ac:dyDescent="0.3">
      <c r="C4" t="s">
        <v>30</v>
      </c>
    </row>
    <row r="5" spans="3:16" x14ac:dyDescent="0.3">
      <c r="C5" s="21" t="s">
        <v>31</v>
      </c>
      <c r="D5" s="21"/>
      <c r="E5" s="21"/>
      <c r="F5" s="21"/>
      <c r="G5" s="21"/>
      <c r="H5" s="21"/>
    </row>
    <row r="6" spans="3:16" x14ac:dyDescent="0.3">
      <c r="C6" s="22" t="s">
        <v>32</v>
      </c>
      <c r="D6" s="22"/>
      <c r="E6" s="22"/>
      <c r="F6" s="22"/>
      <c r="G6" s="22"/>
      <c r="H6" s="22"/>
    </row>
    <row r="7" spans="3:16" x14ac:dyDescent="0.3">
      <c r="C7" s="10" t="s">
        <v>33</v>
      </c>
      <c r="D7" s="10" t="s">
        <v>34</v>
      </c>
      <c r="E7" s="10" t="s">
        <v>35</v>
      </c>
      <c r="F7" s="10" t="s">
        <v>36</v>
      </c>
      <c r="G7" s="10" t="s">
        <v>37</v>
      </c>
      <c r="H7" s="10" t="s">
        <v>38</v>
      </c>
    </row>
    <row r="8" spans="3:16" x14ac:dyDescent="0.3">
      <c r="C8" s="10">
        <v>2</v>
      </c>
      <c r="D8" s="10" t="s">
        <v>39</v>
      </c>
      <c r="E8" s="10">
        <v>30000</v>
      </c>
      <c r="F8" s="10"/>
      <c r="G8" s="10"/>
      <c r="H8" s="10"/>
      <c r="K8" s="21" t="s">
        <v>31</v>
      </c>
      <c r="L8" s="21"/>
      <c r="M8" s="21"/>
      <c r="N8" s="21"/>
      <c r="O8" s="21"/>
      <c r="P8" s="21"/>
    </row>
    <row r="9" spans="3:16" x14ac:dyDescent="0.3">
      <c r="C9" s="10">
        <v>5</v>
      </c>
      <c r="D9" s="10" t="s">
        <v>12</v>
      </c>
      <c r="E9" s="10">
        <v>30000</v>
      </c>
      <c r="F9" s="10"/>
      <c r="G9" s="10"/>
      <c r="H9" s="10"/>
      <c r="K9" s="22" t="s">
        <v>32</v>
      </c>
      <c r="L9" s="22"/>
      <c r="M9" s="22"/>
      <c r="N9" s="22"/>
      <c r="O9" s="22"/>
      <c r="P9" s="22"/>
    </row>
    <row r="10" spans="3:16" x14ac:dyDescent="0.3">
      <c r="C10" s="10">
        <v>1</v>
      </c>
      <c r="D10" s="10" t="s">
        <v>40</v>
      </c>
      <c r="E10" s="10">
        <v>30000</v>
      </c>
      <c r="F10" s="10"/>
      <c r="G10" s="10"/>
      <c r="H10" s="10"/>
      <c r="K10" s="10" t="s">
        <v>33</v>
      </c>
      <c r="L10" s="10" t="s">
        <v>34</v>
      </c>
      <c r="M10" s="10" t="s">
        <v>35</v>
      </c>
      <c r="N10" s="10" t="s">
        <v>36</v>
      </c>
      <c r="O10" s="10" t="s">
        <v>37</v>
      </c>
      <c r="P10" s="10" t="s">
        <v>38</v>
      </c>
    </row>
    <row r="11" spans="3:16" x14ac:dyDescent="0.3">
      <c r="C11" s="10">
        <v>3</v>
      </c>
      <c r="D11" s="10" t="s">
        <v>18</v>
      </c>
      <c r="E11" s="10">
        <v>30000</v>
      </c>
      <c r="F11" s="10"/>
      <c r="G11" s="10"/>
      <c r="H11" s="10"/>
      <c r="K11" s="10">
        <v>1</v>
      </c>
      <c r="L11" s="10" t="s">
        <v>40</v>
      </c>
      <c r="M11" s="10">
        <v>30000</v>
      </c>
      <c r="N11" s="10"/>
      <c r="O11" s="10"/>
      <c r="P11" s="10"/>
    </row>
    <row r="12" spans="3:16" x14ac:dyDescent="0.3">
      <c r="C12" s="10">
        <v>4</v>
      </c>
      <c r="D12" s="10" t="s">
        <v>41</v>
      </c>
      <c r="E12" s="10">
        <v>30000</v>
      </c>
      <c r="F12" s="10"/>
      <c r="G12" s="10"/>
      <c r="H12" s="10"/>
      <c r="K12" s="10">
        <v>2</v>
      </c>
      <c r="L12" s="10" t="s">
        <v>39</v>
      </c>
      <c r="M12" s="10">
        <v>30000</v>
      </c>
      <c r="N12" s="10"/>
      <c r="O12" s="10"/>
      <c r="P12" s="10"/>
    </row>
    <row r="13" spans="3:16" x14ac:dyDescent="0.3">
      <c r="C13" s="10">
        <v>6</v>
      </c>
      <c r="D13" s="10" t="s">
        <v>23</v>
      </c>
      <c r="E13" s="10">
        <v>30000</v>
      </c>
      <c r="F13" s="10"/>
      <c r="G13" s="10"/>
      <c r="H13" s="10"/>
      <c r="K13" s="10">
        <v>3</v>
      </c>
      <c r="L13" s="10" t="s">
        <v>18</v>
      </c>
      <c r="M13" s="10">
        <v>30000</v>
      </c>
      <c r="N13" s="10"/>
      <c r="O13" s="10"/>
      <c r="P13" s="10"/>
    </row>
    <row r="14" spans="3:16" x14ac:dyDescent="0.3">
      <c r="K14" s="10">
        <v>4</v>
      </c>
      <c r="L14" s="10" t="s">
        <v>41</v>
      </c>
      <c r="M14" s="10">
        <v>30000</v>
      </c>
      <c r="N14" s="10"/>
      <c r="O14" s="10"/>
      <c r="P14" s="10"/>
    </row>
    <row r="15" spans="3:16" x14ac:dyDescent="0.3">
      <c r="K15" s="10">
        <v>5</v>
      </c>
      <c r="L15" s="10" t="s">
        <v>12</v>
      </c>
      <c r="M15" s="10">
        <v>30000</v>
      </c>
      <c r="N15" s="10"/>
      <c r="O15" s="10"/>
      <c r="P15" s="10"/>
    </row>
    <row r="16" spans="3:16" x14ac:dyDescent="0.3">
      <c r="K16" s="10">
        <v>6</v>
      </c>
      <c r="L16" s="10" t="s">
        <v>23</v>
      </c>
      <c r="M16" s="10">
        <v>30000</v>
      </c>
      <c r="N16" s="10"/>
      <c r="O16" s="10"/>
      <c r="P16" s="10"/>
    </row>
  </sheetData>
  <mergeCells count="4">
    <mergeCell ref="K8:P8"/>
    <mergeCell ref="K9:P9"/>
    <mergeCell ref="C5:H5"/>
    <mergeCell ref="C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FEDC-738A-40B4-B217-7CA9B6351978}">
  <dimension ref="B3:K17"/>
  <sheetViews>
    <sheetView workbookViewId="0">
      <selection activeCell="J19" sqref="J19"/>
    </sheetView>
  </sheetViews>
  <sheetFormatPr defaultRowHeight="14.4" x14ac:dyDescent="0.3"/>
  <cols>
    <col min="2" max="2" width="15.21875" bestFit="1" customWidth="1"/>
    <col min="3" max="3" width="21.77734375" bestFit="1" customWidth="1"/>
    <col min="5" max="5" width="12.6640625" bestFit="1" customWidth="1"/>
    <col min="6" max="6" width="21" bestFit="1" customWidth="1"/>
    <col min="7" max="7" width="12.6640625" bestFit="1" customWidth="1"/>
  </cols>
  <sheetData>
    <row r="3" spans="2:11" x14ac:dyDescent="0.3">
      <c r="B3" s="6" t="s">
        <v>25</v>
      </c>
      <c r="C3" t="s">
        <v>28</v>
      </c>
    </row>
    <row r="4" spans="2:11" x14ac:dyDescent="0.3">
      <c r="B4" s="7" t="s">
        <v>9</v>
      </c>
      <c r="C4">
        <v>1760000</v>
      </c>
    </row>
    <row r="5" spans="2:11" x14ac:dyDescent="0.3">
      <c r="B5" s="11" t="s">
        <v>42</v>
      </c>
      <c r="C5">
        <v>1760000</v>
      </c>
    </row>
    <row r="6" spans="2:11" x14ac:dyDescent="0.3">
      <c r="B6" s="7" t="s">
        <v>21</v>
      </c>
      <c r="C6">
        <v>960000</v>
      </c>
    </row>
    <row r="7" spans="2:11" x14ac:dyDescent="0.3">
      <c r="B7" s="11" t="s">
        <v>42</v>
      </c>
      <c r="C7">
        <v>960000</v>
      </c>
      <c r="F7" t="s">
        <v>44</v>
      </c>
    </row>
    <row r="8" spans="2:11" x14ac:dyDescent="0.3">
      <c r="B8" s="7" t="s">
        <v>23</v>
      </c>
      <c r="C8">
        <v>700000</v>
      </c>
    </row>
    <row r="9" spans="2:11" x14ac:dyDescent="0.3">
      <c r="B9" s="11" t="s">
        <v>42</v>
      </c>
      <c r="C9">
        <v>700000</v>
      </c>
      <c r="F9" s="21" t="s">
        <v>31</v>
      </c>
      <c r="G9" s="21"/>
      <c r="H9" s="21"/>
      <c r="I9" s="21"/>
      <c r="J9" s="21"/>
      <c r="K9" s="21"/>
    </row>
    <row r="10" spans="2:11" x14ac:dyDescent="0.3">
      <c r="B10" s="7" t="s">
        <v>18</v>
      </c>
      <c r="C10">
        <v>3340000</v>
      </c>
      <c r="F10" s="22" t="s">
        <v>32</v>
      </c>
      <c r="G10" s="22"/>
      <c r="H10" s="22"/>
      <c r="I10" s="22"/>
      <c r="J10" s="22"/>
      <c r="K10" s="22"/>
    </row>
    <row r="11" spans="2:11" x14ac:dyDescent="0.3">
      <c r="B11" s="11" t="s">
        <v>42</v>
      </c>
      <c r="C11">
        <v>3340000</v>
      </c>
      <c r="F11" s="10" t="s">
        <v>33</v>
      </c>
      <c r="G11" s="10" t="s">
        <v>34</v>
      </c>
      <c r="H11" s="10" t="s">
        <v>35</v>
      </c>
      <c r="I11" s="10" t="s">
        <v>45</v>
      </c>
      <c r="J11" s="10" t="s">
        <v>37</v>
      </c>
      <c r="K11" s="10" t="s">
        <v>38</v>
      </c>
    </row>
    <row r="12" spans="2:11" x14ac:dyDescent="0.3">
      <c r="B12" s="7" t="s">
        <v>12</v>
      </c>
      <c r="C12">
        <v>840000</v>
      </c>
      <c r="F12" s="10">
        <v>1</v>
      </c>
      <c r="G12" s="10" t="s">
        <v>40</v>
      </c>
      <c r="H12" s="10">
        <v>30000</v>
      </c>
      <c r="I12" s="12">
        <v>1150000</v>
      </c>
      <c r="J12" s="10">
        <f>IF(I12&gt;=2000000,I12*0.1,IF(I12&gt;=1000000,I12*0.08,IF(I12&lt;1000000,I12*0.06)))</f>
        <v>92000</v>
      </c>
      <c r="K12" s="10">
        <f>H12+J12</f>
        <v>122000</v>
      </c>
    </row>
    <row r="13" spans="2:11" x14ac:dyDescent="0.3">
      <c r="B13" s="11" t="s">
        <v>42</v>
      </c>
      <c r="C13">
        <v>840000</v>
      </c>
      <c r="F13" s="10">
        <v>2</v>
      </c>
      <c r="G13" s="10" t="s">
        <v>39</v>
      </c>
      <c r="H13" s="10">
        <v>30000</v>
      </c>
      <c r="I13" s="12">
        <v>1760000</v>
      </c>
      <c r="J13" s="10">
        <f t="shared" ref="J13:J17" si="0">IF(I13&gt;=2000000,I13*0.1,IF(I13&gt;=1000000,I13*0.08,IF(I13&lt;1000000,I13*0.06)))</f>
        <v>140800</v>
      </c>
      <c r="K13" s="10">
        <f t="shared" ref="K13:K17" si="1">H13+J13</f>
        <v>170800</v>
      </c>
    </row>
    <row r="14" spans="2:11" x14ac:dyDescent="0.3">
      <c r="B14" s="7" t="s">
        <v>15</v>
      </c>
      <c r="C14">
        <v>1150000</v>
      </c>
      <c r="F14" s="10">
        <v>3</v>
      </c>
      <c r="G14" s="10" t="s">
        <v>18</v>
      </c>
      <c r="H14" s="10">
        <v>30000</v>
      </c>
      <c r="I14" s="12">
        <v>3340000</v>
      </c>
      <c r="J14" s="10">
        <f t="shared" si="0"/>
        <v>334000</v>
      </c>
      <c r="K14" s="10">
        <f t="shared" si="1"/>
        <v>364000</v>
      </c>
    </row>
    <row r="15" spans="2:11" x14ac:dyDescent="0.3">
      <c r="B15" s="11" t="s">
        <v>42</v>
      </c>
      <c r="C15">
        <v>1150000</v>
      </c>
      <c r="F15" s="10">
        <v>4</v>
      </c>
      <c r="G15" s="10" t="s">
        <v>41</v>
      </c>
      <c r="H15" s="10">
        <v>30000</v>
      </c>
      <c r="I15" s="12">
        <v>960000</v>
      </c>
      <c r="J15" s="10">
        <f t="shared" si="0"/>
        <v>57600</v>
      </c>
      <c r="K15" s="10">
        <f t="shared" si="1"/>
        <v>87600</v>
      </c>
    </row>
    <row r="16" spans="2:11" x14ac:dyDescent="0.3">
      <c r="B16" s="7" t="s">
        <v>27</v>
      </c>
      <c r="C16">
        <v>8750000</v>
      </c>
      <c r="F16" s="10">
        <v>5</v>
      </c>
      <c r="G16" s="10" t="s">
        <v>12</v>
      </c>
      <c r="H16" s="10">
        <v>30000</v>
      </c>
      <c r="I16" s="12">
        <v>840000</v>
      </c>
      <c r="J16" s="10">
        <f t="shared" si="0"/>
        <v>50400</v>
      </c>
      <c r="K16" s="10">
        <f t="shared" si="1"/>
        <v>80400</v>
      </c>
    </row>
    <row r="17" spans="6:11" x14ac:dyDescent="0.3">
      <c r="F17" s="10">
        <v>6</v>
      </c>
      <c r="G17" s="10" t="s">
        <v>23</v>
      </c>
      <c r="H17" s="10">
        <v>30000</v>
      </c>
      <c r="I17" s="12">
        <v>700000</v>
      </c>
      <c r="J17" s="10">
        <f t="shared" si="0"/>
        <v>42000</v>
      </c>
      <c r="K17" s="10">
        <f t="shared" si="1"/>
        <v>72000</v>
      </c>
    </row>
  </sheetData>
  <mergeCells count="2">
    <mergeCell ref="F9:K9"/>
    <mergeCell ref="F10:K10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FD2C-2F50-4D4E-88FA-B437411207FB}">
  <dimension ref="B3:M28"/>
  <sheetViews>
    <sheetView topLeftCell="A16" workbookViewId="0">
      <selection activeCell="O32" sqref="O32"/>
    </sheetView>
  </sheetViews>
  <sheetFormatPr defaultRowHeight="14.4" x14ac:dyDescent="0.3"/>
  <cols>
    <col min="2" max="2" width="15.21875" bestFit="1" customWidth="1"/>
    <col min="3" max="3" width="21.77734375" bestFit="1" customWidth="1"/>
    <col min="9" max="9" width="12.6640625" bestFit="1" customWidth="1"/>
    <col min="11" max="11" width="16.44140625" bestFit="1" customWidth="1"/>
  </cols>
  <sheetData>
    <row r="3" spans="2:13" x14ac:dyDescent="0.3">
      <c r="B3" s="6" t="s">
        <v>25</v>
      </c>
      <c r="C3" t="s">
        <v>28</v>
      </c>
    </row>
    <row r="4" spans="2:13" x14ac:dyDescent="0.3">
      <c r="B4" s="7" t="s">
        <v>9</v>
      </c>
      <c r="C4">
        <v>5130000</v>
      </c>
    </row>
    <row r="5" spans="2:13" x14ac:dyDescent="0.3">
      <c r="B5" s="11" t="s">
        <v>42</v>
      </c>
      <c r="C5">
        <v>1760000</v>
      </c>
    </row>
    <row r="6" spans="2:13" x14ac:dyDescent="0.3">
      <c r="B6" s="11" t="s">
        <v>43</v>
      </c>
      <c r="C6">
        <v>1500000</v>
      </c>
    </row>
    <row r="7" spans="2:13" x14ac:dyDescent="0.3">
      <c r="B7" s="11" t="s">
        <v>46</v>
      </c>
      <c r="C7">
        <v>1870000</v>
      </c>
      <c r="H7" t="s">
        <v>47</v>
      </c>
    </row>
    <row r="8" spans="2:13" x14ac:dyDescent="0.3">
      <c r="B8" s="7" t="s">
        <v>21</v>
      </c>
      <c r="C8">
        <v>4190000</v>
      </c>
    </row>
    <row r="9" spans="2:13" x14ac:dyDescent="0.3">
      <c r="B9" s="11" t="s">
        <v>42</v>
      </c>
      <c r="C9">
        <v>960000</v>
      </c>
    </row>
    <row r="10" spans="2:13" x14ac:dyDescent="0.3">
      <c r="B10" s="11" t="s">
        <v>43</v>
      </c>
      <c r="C10">
        <v>1600000</v>
      </c>
    </row>
    <row r="11" spans="2:13" x14ac:dyDescent="0.3">
      <c r="B11" s="11" t="s">
        <v>46</v>
      </c>
      <c r="C11">
        <v>1630000</v>
      </c>
      <c r="H11" s="21" t="s">
        <v>31</v>
      </c>
      <c r="I11" s="21"/>
      <c r="J11" s="21"/>
      <c r="K11" s="21"/>
      <c r="L11" s="21"/>
      <c r="M11" s="21"/>
    </row>
    <row r="12" spans="2:13" x14ac:dyDescent="0.3">
      <c r="B12" s="7" t="s">
        <v>23</v>
      </c>
      <c r="C12">
        <v>5320000</v>
      </c>
      <c r="H12" s="22" t="s">
        <v>48</v>
      </c>
      <c r="I12" s="22"/>
      <c r="J12" s="22"/>
      <c r="K12" s="22"/>
      <c r="L12" s="22"/>
      <c r="M12" s="22"/>
    </row>
    <row r="13" spans="2:13" x14ac:dyDescent="0.3">
      <c r="B13" s="11" t="s">
        <v>42</v>
      </c>
      <c r="C13">
        <v>700000</v>
      </c>
      <c r="H13" s="10" t="s">
        <v>33</v>
      </c>
      <c r="I13" s="10" t="s">
        <v>34</v>
      </c>
      <c r="J13" s="10" t="s">
        <v>35</v>
      </c>
      <c r="K13" s="10" t="s">
        <v>49</v>
      </c>
      <c r="L13" s="10" t="s">
        <v>37</v>
      </c>
      <c r="M13" s="10" t="s">
        <v>38</v>
      </c>
    </row>
    <row r="14" spans="2:13" x14ac:dyDescent="0.3">
      <c r="B14" s="11" t="s">
        <v>43</v>
      </c>
      <c r="C14">
        <v>2740000</v>
      </c>
      <c r="H14" s="10">
        <v>1</v>
      </c>
      <c r="I14" s="10" t="s">
        <v>40</v>
      </c>
      <c r="J14" s="10">
        <v>30000</v>
      </c>
      <c r="K14" s="10">
        <v>4710000</v>
      </c>
      <c r="L14" s="10">
        <f>IF(K14&gt;=2000000,K14*0.1,IF(K14&gt;=1000000,K14*0.08,IF(K14&lt;1000000,K14*0.06)))</f>
        <v>471000</v>
      </c>
      <c r="M14" s="10">
        <f>J14+L14</f>
        <v>501000</v>
      </c>
    </row>
    <row r="15" spans="2:13" x14ac:dyDescent="0.3">
      <c r="B15" s="11" t="s">
        <v>46</v>
      </c>
      <c r="C15">
        <v>1880000</v>
      </c>
      <c r="H15" s="10">
        <v>2</v>
      </c>
      <c r="I15" s="10" t="s">
        <v>39</v>
      </c>
      <c r="J15" s="10">
        <v>30000</v>
      </c>
      <c r="K15" s="10">
        <v>5130000</v>
      </c>
      <c r="L15" s="10">
        <f t="shared" ref="L15:L19" si="0">IF(K15&gt;=2000000,K15*0.1,IF(K15&gt;=1000000,K15*0.08,IF(K15&lt;1000000,K15*0.06)))</f>
        <v>513000</v>
      </c>
      <c r="M15" s="10">
        <f t="shared" ref="M15:M19" si="1">J15+L15</f>
        <v>543000</v>
      </c>
    </row>
    <row r="16" spans="2:13" x14ac:dyDescent="0.3">
      <c r="B16" s="7" t="s">
        <v>18</v>
      </c>
      <c r="C16">
        <v>6930000</v>
      </c>
      <c r="H16" s="10">
        <v>3</v>
      </c>
      <c r="I16" s="10" t="s">
        <v>18</v>
      </c>
      <c r="J16" s="10">
        <v>30000</v>
      </c>
      <c r="K16" s="10">
        <v>6930000</v>
      </c>
      <c r="L16" s="10">
        <f t="shared" si="0"/>
        <v>693000</v>
      </c>
      <c r="M16" s="10">
        <f t="shared" si="1"/>
        <v>723000</v>
      </c>
    </row>
    <row r="17" spans="2:13" x14ac:dyDescent="0.3">
      <c r="B17" s="11" t="s">
        <v>42</v>
      </c>
      <c r="C17">
        <v>3340000</v>
      </c>
      <c r="H17" s="10">
        <v>4</v>
      </c>
      <c r="I17" s="10" t="s">
        <v>41</v>
      </c>
      <c r="J17" s="10">
        <v>30000</v>
      </c>
      <c r="K17" s="10">
        <v>4190000</v>
      </c>
      <c r="L17" s="10">
        <f t="shared" si="0"/>
        <v>419000</v>
      </c>
      <c r="M17" s="10">
        <f t="shared" si="1"/>
        <v>449000</v>
      </c>
    </row>
    <row r="18" spans="2:13" x14ac:dyDescent="0.3">
      <c r="B18" s="11" t="s">
        <v>43</v>
      </c>
      <c r="C18">
        <v>1210000</v>
      </c>
      <c r="H18" s="10">
        <v>5</v>
      </c>
      <c r="I18" s="10" t="s">
        <v>12</v>
      </c>
      <c r="J18" s="10">
        <v>30000</v>
      </c>
      <c r="K18" s="10">
        <v>2390000</v>
      </c>
      <c r="L18" s="10">
        <f t="shared" si="0"/>
        <v>239000</v>
      </c>
      <c r="M18" s="10">
        <f t="shared" si="1"/>
        <v>269000</v>
      </c>
    </row>
    <row r="19" spans="2:13" x14ac:dyDescent="0.3">
      <c r="B19" s="11" t="s">
        <v>46</v>
      </c>
      <c r="C19">
        <v>2380000</v>
      </c>
      <c r="H19" s="10">
        <v>6</v>
      </c>
      <c r="I19" s="10" t="s">
        <v>23</v>
      </c>
      <c r="J19" s="10">
        <v>30000</v>
      </c>
      <c r="K19" s="10">
        <v>5320000</v>
      </c>
      <c r="L19" s="10">
        <f t="shared" si="0"/>
        <v>532000</v>
      </c>
      <c r="M19" s="10">
        <f t="shared" si="1"/>
        <v>562000</v>
      </c>
    </row>
    <row r="20" spans="2:13" x14ac:dyDescent="0.3">
      <c r="B20" s="7" t="s">
        <v>12</v>
      </c>
      <c r="C20">
        <v>2390000</v>
      </c>
    </row>
    <row r="21" spans="2:13" x14ac:dyDescent="0.3">
      <c r="B21" s="11" t="s">
        <v>42</v>
      </c>
      <c r="C21">
        <v>840000</v>
      </c>
    </row>
    <row r="22" spans="2:13" x14ac:dyDescent="0.3">
      <c r="B22" s="11" t="s">
        <v>43</v>
      </c>
      <c r="C22">
        <v>980000</v>
      </c>
    </row>
    <row r="23" spans="2:13" x14ac:dyDescent="0.3">
      <c r="B23" s="11" t="s">
        <v>46</v>
      </c>
      <c r="C23">
        <v>570000</v>
      </c>
    </row>
    <row r="24" spans="2:13" x14ac:dyDescent="0.3">
      <c r="B24" s="7" t="s">
        <v>15</v>
      </c>
      <c r="C24">
        <v>4710000</v>
      </c>
    </row>
    <row r="25" spans="2:13" x14ac:dyDescent="0.3">
      <c r="B25" s="11" t="s">
        <v>42</v>
      </c>
      <c r="C25">
        <v>1150000</v>
      </c>
    </row>
    <row r="26" spans="2:13" x14ac:dyDescent="0.3">
      <c r="B26" s="11" t="s">
        <v>43</v>
      </c>
      <c r="C26">
        <v>1890000</v>
      </c>
    </row>
    <row r="27" spans="2:13" x14ac:dyDescent="0.3">
      <c r="B27" s="11" t="s">
        <v>46</v>
      </c>
      <c r="C27">
        <v>1670000</v>
      </c>
    </row>
    <row r="28" spans="2:13" x14ac:dyDescent="0.3">
      <c r="B28" s="7" t="s">
        <v>27</v>
      </c>
      <c r="C28">
        <v>28670000</v>
      </c>
    </row>
  </sheetData>
  <mergeCells count="2">
    <mergeCell ref="H11:M11"/>
    <mergeCell ref="H12:M12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C134-B514-4509-9865-A3F55D747227}">
  <dimension ref="C4:O29"/>
  <sheetViews>
    <sheetView topLeftCell="A10" workbookViewId="0">
      <selection activeCell="F30" sqref="F30"/>
    </sheetView>
  </sheetViews>
  <sheetFormatPr defaultRowHeight="14.4" x14ac:dyDescent="0.3"/>
  <cols>
    <col min="3" max="3" width="15.44140625" customWidth="1"/>
    <col min="4" max="4" width="21.77734375" bestFit="1" customWidth="1"/>
    <col min="9" max="9" width="12.6640625" bestFit="1" customWidth="1"/>
  </cols>
  <sheetData>
    <row r="4" spans="3:15" x14ac:dyDescent="0.3">
      <c r="C4" s="6" t="s">
        <v>25</v>
      </c>
      <c r="D4" t="s">
        <v>28</v>
      </c>
    </row>
    <row r="5" spans="3:15" x14ac:dyDescent="0.3">
      <c r="C5" s="7" t="s">
        <v>9</v>
      </c>
      <c r="D5">
        <v>5130000</v>
      </c>
    </row>
    <row r="6" spans="3:15" x14ac:dyDescent="0.3">
      <c r="C6" s="11" t="s">
        <v>42</v>
      </c>
      <c r="D6">
        <v>1760000</v>
      </c>
    </row>
    <row r="7" spans="3:15" x14ac:dyDescent="0.3">
      <c r="C7" s="11" t="s">
        <v>43</v>
      </c>
      <c r="D7">
        <v>1500000</v>
      </c>
    </row>
    <row r="8" spans="3:15" x14ac:dyDescent="0.3">
      <c r="C8" s="11" t="s">
        <v>46</v>
      </c>
      <c r="D8">
        <v>1870000</v>
      </c>
    </row>
    <row r="9" spans="3:15" x14ac:dyDescent="0.3">
      <c r="C9" s="7" t="s">
        <v>21</v>
      </c>
      <c r="D9">
        <v>4190000</v>
      </c>
    </row>
    <row r="10" spans="3:15" x14ac:dyDescent="0.3">
      <c r="C10" s="11" t="s">
        <v>42</v>
      </c>
      <c r="D10">
        <v>960000</v>
      </c>
    </row>
    <row r="11" spans="3:15" x14ac:dyDescent="0.3">
      <c r="C11" s="11" t="s">
        <v>43</v>
      </c>
      <c r="D11">
        <v>1600000</v>
      </c>
    </row>
    <row r="12" spans="3:15" x14ac:dyDescent="0.3">
      <c r="C12" s="11" t="s">
        <v>46</v>
      </c>
      <c r="D12">
        <v>1630000</v>
      </c>
    </row>
    <row r="13" spans="3:15" x14ac:dyDescent="0.3">
      <c r="C13" s="7" t="s">
        <v>23</v>
      </c>
      <c r="D13">
        <v>5320000</v>
      </c>
      <c r="H13" t="s">
        <v>50</v>
      </c>
    </row>
    <row r="14" spans="3:15" x14ac:dyDescent="0.3">
      <c r="C14" s="11" t="s">
        <v>42</v>
      </c>
      <c r="D14">
        <v>700000</v>
      </c>
    </row>
    <row r="15" spans="3:15" x14ac:dyDescent="0.3">
      <c r="C15" s="11" t="s">
        <v>43</v>
      </c>
      <c r="D15">
        <v>2740000</v>
      </c>
      <c r="H15" s="21" t="s">
        <v>31</v>
      </c>
      <c r="I15" s="21"/>
      <c r="J15" s="21"/>
      <c r="K15" s="21"/>
      <c r="L15" s="21"/>
      <c r="M15" s="21"/>
      <c r="N15" s="21"/>
      <c r="O15" s="21"/>
    </row>
    <row r="16" spans="3:15" x14ac:dyDescent="0.3">
      <c r="C16" s="11" t="s">
        <v>46</v>
      </c>
      <c r="D16">
        <v>1880000</v>
      </c>
      <c r="H16" s="22" t="s">
        <v>48</v>
      </c>
      <c r="I16" s="22"/>
      <c r="J16" s="22"/>
      <c r="K16" s="22"/>
      <c r="L16" s="22"/>
      <c r="M16" s="22"/>
      <c r="N16" s="22"/>
      <c r="O16" s="22"/>
    </row>
    <row r="17" spans="3:15" x14ac:dyDescent="0.3">
      <c r="C17" s="7" t="s">
        <v>18</v>
      </c>
      <c r="D17">
        <v>6930000</v>
      </c>
      <c r="H17" s="10" t="s">
        <v>33</v>
      </c>
      <c r="I17" s="10" t="s">
        <v>34</v>
      </c>
      <c r="J17" s="10" t="s">
        <v>35</v>
      </c>
      <c r="K17" s="10" t="s">
        <v>49</v>
      </c>
      <c r="L17" s="10" t="s">
        <v>37</v>
      </c>
      <c r="M17" s="10" t="s">
        <v>38</v>
      </c>
      <c r="N17" s="10" t="s">
        <v>51</v>
      </c>
      <c r="O17" s="10" t="s">
        <v>52</v>
      </c>
    </row>
    <row r="18" spans="3:15" x14ac:dyDescent="0.3">
      <c r="C18" s="11" t="s">
        <v>42</v>
      </c>
      <c r="D18">
        <v>3340000</v>
      </c>
      <c r="H18" s="10">
        <v>1</v>
      </c>
      <c r="I18" s="10" t="s">
        <v>40</v>
      </c>
      <c r="J18" s="10">
        <v>30000</v>
      </c>
      <c r="K18" s="10">
        <v>4710000</v>
      </c>
      <c r="L18" s="10">
        <f>IF(K18&gt;=2000000,K18*0.1,IF(K18&gt;=1000000,K18*0.08,IF(K18&lt;1000000,K18*0.06)))</f>
        <v>471000</v>
      </c>
      <c r="M18" s="10">
        <f>J18+L18</f>
        <v>501000</v>
      </c>
      <c r="N18" s="10">
        <f>AVERAGE(M18,3)</f>
        <v>250501.5</v>
      </c>
      <c r="O18" s="10">
        <f>ROUND(N18,0)</f>
        <v>250502</v>
      </c>
    </row>
    <row r="19" spans="3:15" x14ac:dyDescent="0.3">
      <c r="C19" s="11" t="s">
        <v>43</v>
      </c>
      <c r="D19">
        <v>1210000</v>
      </c>
      <c r="H19" s="10">
        <v>2</v>
      </c>
      <c r="I19" s="10" t="s">
        <v>39</v>
      </c>
      <c r="J19" s="10">
        <v>30000</v>
      </c>
      <c r="K19" s="10">
        <v>5130000</v>
      </c>
      <c r="L19" s="10">
        <f t="shared" ref="L19:L23" si="0">IF(K19&gt;=2000000,K19*0.1,IF(K19&gt;=1000000,K19*0.08,IF(K19&lt;1000000,K19*0.06)))</f>
        <v>513000</v>
      </c>
      <c r="M19" s="10">
        <f t="shared" ref="M19:M23" si="1">J19+L19</f>
        <v>543000</v>
      </c>
      <c r="N19" s="10">
        <f t="shared" ref="N19:N23" si="2">AVERAGE(M19,3)</f>
        <v>271501.5</v>
      </c>
      <c r="O19" s="10">
        <f t="shared" ref="O19:O23" si="3">ROUND(N19,0)</f>
        <v>271502</v>
      </c>
    </row>
    <row r="20" spans="3:15" x14ac:dyDescent="0.3">
      <c r="C20" s="11" t="s">
        <v>46</v>
      </c>
      <c r="D20">
        <v>2380000</v>
      </c>
      <c r="H20" s="10">
        <v>3</v>
      </c>
      <c r="I20" s="10" t="s">
        <v>18</v>
      </c>
      <c r="J20" s="10">
        <v>30000</v>
      </c>
      <c r="K20" s="10">
        <v>6930000</v>
      </c>
      <c r="L20" s="10">
        <f t="shared" si="0"/>
        <v>693000</v>
      </c>
      <c r="M20" s="10">
        <f t="shared" si="1"/>
        <v>723000</v>
      </c>
      <c r="N20" s="10">
        <f t="shared" si="2"/>
        <v>361501.5</v>
      </c>
      <c r="O20" s="10">
        <f t="shared" si="3"/>
        <v>361502</v>
      </c>
    </row>
    <row r="21" spans="3:15" x14ac:dyDescent="0.3">
      <c r="C21" s="7" t="s">
        <v>12</v>
      </c>
      <c r="D21">
        <v>2390000</v>
      </c>
      <c r="H21" s="10">
        <v>4</v>
      </c>
      <c r="I21" s="10" t="s">
        <v>41</v>
      </c>
      <c r="J21" s="10">
        <v>30000</v>
      </c>
      <c r="K21" s="10">
        <v>4190000</v>
      </c>
      <c r="L21" s="10">
        <f t="shared" si="0"/>
        <v>419000</v>
      </c>
      <c r="M21" s="10">
        <f t="shared" si="1"/>
        <v>449000</v>
      </c>
      <c r="N21" s="10">
        <f t="shared" si="2"/>
        <v>224501.5</v>
      </c>
      <c r="O21" s="10">
        <f t="shared" si="3"/>
        <v>224502</v>
      </c>
    </row>
    <row r="22" spans="3:15" x14ac:dyDescent="0.3">
      <c r="C22" s="11" t="s">
        <v>42</v>
      </c>
      <c r="D22">
        <v>840000</v>
      </c>
      <c r="H22" s="10">
        <v>5</v>
      </c>
      <c r="I22" s="10" t="s">
        <v>12</v>
      </c>
      <c r="J22" s="10">
        <v>30000</v>
      </c>
      <c r="K22" s="10">
        <v>2390000</v>
      </c>
      <c r="L22" s="10">
        <f t="shared" si="0"/>
        <v>239000</v>
      </c>
      <c r="M22" s="10">
        <f t="shared" si="1"/>
        <v>269000</v>
      </c>
      <c r="N22" s="10">
        <f t="shared" si="2"/>
        <v>134501.5</v>
      </c>
      <c r="O22" s="10">
        <f t="shared" si="3"/>
        <v>134502</v>
      </c>
    </row>
    <row r="23" spans="3:15" x14ac:dyDescent="0.3">
      <c r="C23" s="11" t="s">
        <v>43</v>
      </c>
      <c r="D23">
        <v>980000</v>
      </c>
      <c r="H23" s="10">
        <v>6</v>
      </c>
      <c r="I23" s="10" t="s">
        <v>23</v>
      </c>
      <c r="J23" s="10">
        <v>30000</v>
      </c>
      <c r="K23" s="10">
        <v>5320000</v>
      </c>
      <c r="L23" s="10">
        <f t="shared" si="0"/>
        <v>532000</v>
      </c>
      <c r="M23" s="10">
        <f t="shared" si="1"/>
        <v>562000</v>
      </c>
      <c r="N23" s="10">
        <f t="shared" si="2"/>
        <v>281001.5</v>
      </c>
      <c r="O23" s="10">
        <f t="shared" si="3"/>
        <v>281002</v>
      </c>
    </row>
    <row r="24" spans="3:15" x14ac:dyDescent="0.3">
      <c r="C24" s="11" t="s">
        <v>46</v>
      </c>
      <c r="D24">
        <v>570000</v>
      </c>
    </row>
    <row r="25" spans="3:15" x14ac:dyDescent="0.3">
      <c r="C25" s="7" t="s">
        <v>15</v>
      </c>
      <c r="D25">
        <v>4710000</v>
      </c>
    </row>
    <row r="26" spans="3:15" x14ac:dyDescent="0.3">
      <c r="C26" s="11" t="s">
        <v>42</v>
      </c>
      <c r="D26">
        <v>1150000</v>
      </c>
    </row>
    <row r="27" spans="3:15" x14ac:dyDescent="0.3">
      <c r="C27" s="11" t="s">
        <v>43</v>
      </c>
      <c r="D27">
        <v>1890000</v>
      </c>
    </row>
    <row r="28" spans="3:15" x14ac:dyDescent="0.3">
      <c r="C28" s="11" t="s">
        <v>46</v>
      </c>
      <c r="D28">
        <v>1670000</v>
      </c>
    </row>
    <row r="29" spans="3:15" x14ac:dyDescent="0.3">
      <c r="C29" s="7" t="s">
        <v>27</v>
      </c>
      <c r="D29">
        <v>28670000</v>
      </c>
    </row>
  </sheetData>
  <mergeCells count="2">
    <mergeCell ref="H15:O15"/>
    <mergeCell ref="H16:O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B247-FD00-4F2B-8E3E-276E6EF59C11}">
  <dimension ref="C7:H12"/>
  <sheetViews>
    <sheetView topLeftCell="A3" workbookViewId="0">
      <selection activeCell="K11" sqref="K11"/>
    </sheetView>
  </sheetViews>
  <sheetFormatPr defaultRowHeight="14.4" x14ac:dyDescent="0.3"/>
  <sheetData>
    <row r="7" spans="3:8" x14ac:dyDescent="0.3">
      <c r="C7" t="s">
        <v>82</v>
      </c>
    </row>
    <row r="8" spans="3:8" x14ac:dyDescent="0.3">
      <c r="D8" t="s">
        <v>83</v>
      </c>
    </row>
    <row r="9" spans="3:8" x14ac:dyDescent="0.3">
      <c r="D9" s="10" t="s">
        <v>84</v>
      </c>
      <c r="E9" s="10" t="s">
        <v>85</v>
      </c>
      <c r="F9" s="10" t="s">
        <v>86</v>
      </c>
      <c r="G9" s="10" t="s">
        <v>87</v>
      </c>
      <c r="H9" s="10" t="s">
        <v>88</v>
      </c>
    </row>
    <row r="10" spans="3:8" x14ac:dyDescent="0.3">
      <c r="D10" s="10" t="s">
        <v>72</v>
      </c>
      <c r="E10" s="10">
        <v>7854500</v>
      </c>
      <c r="F10" s="10">
        <v>8750000</v>
      </c>
      <c r="G10" s="10">
        <f>F10-E10</f>
        <v>895500</v>
      </c>
      <c r="H10" s="10" t="str">
        <f>IF(G10&gt;0,"Profit","Loss")</f>
        <v>Profit</v>
      </c>
    </row>
    <row r="11" spans="3:8" x14ac:dyDescent="0.3">
      <c r="D11" s="10" t="s">
        <v>73</v>
      </c>
      <c r="E11" s="10">
        <v>9998300</v>
      </c>
      <c r="F11" s="10">
        <v>9920000</v>
      </c>
      <c r="G11" s="10">
        <f t="shared" ref="G11:G12" si="0">F11-E11</f>
        <v>-78300</v>
      </c>
      <c r="H11" s="10" t="str">
        <f t="shared" ref="H11:H12" si="1">IF(G11&gt;0,"Profit","Loss")</f>
        <v>Loss</v>
      </c>
    </row>
    <row r="12" spans="3:8" x14ac:dyDescent="0.3">
      <c r="D12" s="10" t="s">
        <v>74</v>
      </c>
      <c r="E12" s="10">
        <v>8985700</v>
      </c>
      <c r="F12" s="10">
        <v>10000000</v>
      </c>
      <c r="G12" s="10">
        <f t="shared" si="0"/>
        <v>1014300</v>
      </c>
      <c r="H12" s="10" t="str">
        <f t="shared" si="1"/>
        <v>Profit</v>
      </c>
    </row>
  </sheetData>
  <conditionalFormatting sqref="H10:H12">
    <cfRule type="containsText" dxfId="5" priority="1" operator="containsText" text="Profit">
      <formula>NOT(ISERROR(SEARCH("Profit",H10)))</formula>
    </cfRule>
    <cfRule type="containsText" dxfId="4" priority="2" operator="containsText" text="Loss">
      <formula>NOT(ISERROR(SEARCH("Loss",H10)))</formula>
    </cfRule>
    <cfRule type="containsText" dxfId="3" priority="3" operator="containsText" text="Loss">
      <formula>NOT(ISERROR(SEARCH("Loss",H10)))</formula>
    </cfRule>
    <cfRule type="containsText" dxfId="2" priority="4" operator="containsText" text="Profit">
      <formula>NOT(ISERROR(SEARCH("Profit",H10)))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819ED-41F6-417C-977C-F99007ECBEDD}">
  <dimension ref="C3:Q43"/>
  <sheetViews>
    <sheetView topLeftCell="A22" workbookViewId="0">
      <selection activeCell="J37" sqref="J37"/>
    </sheetView>
  </sheetViews>
  <sheetFormatPr defaultRowHeight="14.4" x14ac:dyDescent="0.3"/>
  <cols>
    <col min="3" max="3" width="15.21875" bestFit="1" customWidth="1"/>
    <col min="4" max="4" width="17.33203125" bestFit="1" customWidth="1"/>
    <col min="5" max="5" width="8.77734375" bestFit="1" customWidth="1"/>
    <col min="11" max="11" width="15.21875" bestFit="1" customWidth="1"/>
    <col min="12" max="12" width="17.33203125" bestFit="1" customWidth="1"/>
    <col min="17" max="17" width="9.44140625" bestFit="1" customWidth="1"/>
  </cols>
  <sheetData>
    <row r="3" spans="3:17" x14ac:dyDescent="0.3">
      <c r="C3" t="s">
        <v>44</v>
      </c>
    </row>
    <row r="4" spans="3:17" x14ac:dyDescent="0.3">
      <c r="C4" s="23" t="s">
        <v>77</v>
      </c>
      <c r="D4" s="23"/>
      <c r="E4" s="23"/>
      <c r="F4" s="23"/>
      <c r="G4" s="23"/>
      <c r="H4" s="23"/>
      <c r="I4" s="23"/>
    </row>
    <row r="5" spans="3:17" x14ac:dyDescent="0.3">
      <c r="C5" s="24"/>
      <c r="D5" s="24"/>
      <c r="E5" s="24"/>
      <c r="F5" s="24"/>
      <c r="G5" s="24"/>
      <c r="H5" s="24"/>
      <c r="I5" s="24"/>
    </row>
    <row r="6" spans="3:17" x14ac:dyDescent="0.3">
      <c r="C6" s="25" t="s">
        <v>72</v>
      </c>
      <c r="D6" s="25"/>
      <c r="E6" s="25"/>
      <c r="F6" s="25"/>
      <c r="G6" s="25"/>
      <c r="H6" s="25"/>
      <c r="I6" s="25"/>
    </row>
    <row r="7" spans="3:17" x14ac:dyDescent="0.3">
      <c r="C7" s="17" t="s">
        <v>78</v>
      </c>
      <c r="D7" s="17" t="s">
        <v>79</v>
      </c>
      <c r="E7" s="17" t="s">
        <v>80</v>
      </c>
      <c r="F7" s="17" t="s">
        <v>81</v>
      </c>
      <c r="G7" s="17" t="s">
        <v>38</v>
      </c>
      <c r="H7" s="17" t="s">
        <v>86</v>
      </c>
      <c r="I7" s="17" t="s">
        <v>88</v>
      </c>
      <c r="J7" s="18"/>
      <c r="K7" s="23" t="s">
        <v>77</v>
      </c>
      <c r="L7" s="23"/>
      <c r="M7" s="23"/>
      <c r="N7" s="23"/>
      <c r="O7" s="23"/>
      <c r="P7" s="23"/>
      <c r="Q7" s="23"/>
    </row>
    <row r="8" spans="3:17" x14ac:dyDescent="0.3">
      <c r="C8" s="10" t="s">
        <v>10</v>
      </c>
      <c r="D8" s="10" t="s">
        <v>4</v>
      </c>
      <c r="E8" s="10">
        <v>53</v>
      </c>
      <c r="F8" s="10">
        <v>60000</v>
      </c>
      <c r="G8" s="10">
        <f>F8*E8</f>
        <v>3180000</v>
      </c>
      <c r="H8" s="10" t="s">
        <v>71</v>
      </c>
      <c r="I8" s="10"/>
      <c r="K8" s="24"/>
      <c r="L8" s="24"/>
      <c r="M8" s="24"/>
      <c r="N8" s="24"/>
      <c r="O8" s="24"/>
      <c r="P8" s="24"/>
      <c r="Q8" s="24"/>
    </row>
    <row r="9" spans="3:17" x14ac:dyDescent="0.3">
      <c r="C9" s="10" t="s">
        <v>13</v>
      </c>
      <c r="D9" s="10" t="s">
        <v>4</v>
      </c>
      <c r="E9" s="10">
        <v>48</v>
      </c>
      <c r="F9" s="10">
        <v>45000</v>
      </c>
      <c r="G9" s="10">
        <f t="shared" ref="G9:G11" si="0">F9*E9</f>
        <v>2160000</v>
      </c>
      <c r="H9" s="10"/>
      <c r="I9" s="10"/>
      <c r="K9" s="25" t="s">
        <v>73</v>
      </c>
      <c r="L9" s="25"/>
      <c r="M9" s="25"/>
      <c r="N9" s="25"/>
      <c r="O9" s="25"/>
      <c r="P9" s="25"/>
      <c r="Q9" s="25"/>
    </row>
    <row r="10" spans="3:17" x14ac:dyDescent="0.3">
      <c r="C10" s="10" t="s">
        <v>53</v>
      </c>
      <c r="D10" s="10" t="s">
        <v>4</v>
      </c>
      <c r="E10" s="10">
        <v>56</v>
      </c>
      <c r="F10" s="10">
        <v>26000</v>
      </c>
      <c r="G10" s="10">
        <f t="shared" si="0"/>
        <v>1456000</v>
      </c>
      <c r="H10" s="10"/>
      <c r="I10" s="10"/>
      <c r="K10" s="17" t="s">
        <v>78</v>
      </c>
      <c r="L10" s="17" t="s">
        <v>79</v>
      </c>
      <c r="M10" s="17" t="s">
        <v>80</v>
      </c>
      <c r="N10" s="17" t="s">
        <v>81</v>
      </c>
      <c r="O10" s="17" t="s">
        <v>38</v>
      </c>
      <c r="P10" s="10" t="s">
        <v>86</v>
      </c>
      <c r="Q10" s="10" t="s">
        <v>88</v>
      </c>
    </row>
    <row r="11" spans="3:17" x14ac:dyDescent="0.3">
      <c r="C11" s="10" t="s">
        <v>16</v>
      </c>
      <c r="D11" s="10" t="s">
        <v>4</v>
      </c>
      <c r="E11" s="10">
        <v>48</v>
      </c>
      <c r="F11" s="10">
        <v>17000</v>
      </c>
      <c r="G11" s="10">
        <f t="shared" si="0"/>
        <v>816000</v>
      </c>
      <c r="H11" s="10"/>
      <c r="I11" s="10"/>
      <c r="K11" s="10" t="s">
        <v>10</v>
      </c>
      <c r="L11" s="10" t="s">
        <v>4</v>
      </c>
      <c r="M11" s="10">
        <v>55</v>
      </c>
      <c r="N11" s="10">
        <v>60000</v>
      </c>
      <c r="O11" s="10">
        <f>N11*M11</f>
        <v>3300000</v>
      </c>
      <c r="P11" s="10"/>
      <c r="Q11" s="10"/>
    </row>
    <row r="12" spans="3:17" x14ac:dyDescent="0.3">
      <c r="C12" s="10" t="s">
        <v>54</v>
      </c>
      <c r="D12" s="10" t="s">
        <v>55</v>
      </c>
      <c r="E12" s="10"/>
      <c r="F12" s="10"/>
      <c r="G12" s="10">
        <v>12000</v>
      </c>
      <c r="H12" s="10"/>
      <c r="I12" s="10"/>
      <c r="K12" s="10" t="s">
        <v>13</v>
      </c>
      <c r="L12" s="10" t="s">
        <v>4</v>
      </c>
      <c r="M12" s="10">
        <v>50</v>
      </c>
      <c r="N12" s="10">
        <v>45000</v>
      </c>
      <c r="O12" s="10">
        <f t="shared" ref="O12:O14" si="1">N12*M12</f>
        <v>2250000</v>
      </c>
      <c r="P12" s="10"/>
      <c r="Q12" s="10"/>
    </row>
    <row r="13" spans="3:17" x14ac:dyDescent="0.3">
      <c r="C13" s="10" t="s">
        <v>56</v>
      </c>
      <c r="D13" s="10" t="s">
        <v>57</v>
      </c>
      <c r="E13" s="10"/>
      <c r="F13" s="10"/>
      <c r="G13" s="10">
        <v>5000</v>
      </c>
      <c r="H13" s="10"/>
      <c r="I13" s="10"/>
      <c r="K13" s="10" t="s">
        <v>53</v>
      </c>
      <c r="L13" s="10" t="s">
        <v>4</v>
      </c>
      <c r="M13" s="10">
        <v>79</v>
      </c>
      <c r="N13" s="10">
        <v>26000</v>
      </c>
      <c r="O13" s="10">
        <f t="shared" si="1"/>
        <v>2054000</v>
      </c>
      <c r="P13" s="10"/>
      <c r="Q13" s="10"/>
    </row>
    <row r="14" spans="3:17" x14ac:dyDescent="0.3">
      <c r="C14" s="10" t="s">
        <v>58</v>
      </c>
      <c r="D14" s="10" t="s">
        <v>55</v>
      </c>
      <c r="E14" s="10"/>
      <c r="F14" s="10"/>
      <c r="G14" s="10">
        <v>8000</v>
      </c>
      <c r="H14" s="10"/>
      <c r="I14" s="10"/>
      <c r="K14" s="10" t="s">
        <v>16</v>
      </c>
      <c r="L14" s="10" t="s">
        <v>4</v>
      </c>
      <c r="M14" s="10">
        <v>60</v>
      </c>
      <c r="N14" s="10">
        <v>17000</v>
      </c>
      <c r="O14" s="10">
        <f t="shared" si="1"/>
        <v>1020000</v>
      </c>
      <c r="P14" s="10"/>
      <c r="Q14" s="10"/>
    </row>
    <row r="15" spans="3:17" x14ac:dyDescent="0.3">
      <c r="C15" s="10" t="s">
        <v>59</v>
      </c>
      <c r="D15" s="10" t="s">
        <v>60</v>
      </c>
      <c r="E15" s="10"/>
      <c r="F15" s="10"/>
      <c r="G15" s="10">
        <v>1500</v>
      </c>
      <c r="H15" s="10"/>
      <c r="I15" s="10"/>
      <c r="K15" s="10" t="s">
        <v>54</v>
      </c>
      <c r="L15" s="10" t="s">
        <v>55</v>
      </c>
      <c r="M15" s="10"/>
      <c r="N15" s="10"/>
      <c r="O15" s="10">
        <v>12000</v>
      </c>
      <c r="P15" s="10"/>
      <c r="Q15" s="10"/>
    </row>
    <row r="16" spans="3:17" x14ac:dyDescent="0.3">
      <c r="C16" s="10" t="s">
        <v>61</v>
      </c>
      <c r="D16" s="10" t="s">
        <v>62</v>
      </c>
      <c r="E16" s="10">
        <v>5</v>
      </c>
      <c r="F16" s="10">
        <v>30000</v>
      </c>
      <c r="G16" s="10">
        <f>F16*E16</f>
        <v>150000</v>
      </c>
      <c r="H16" s="10"/>
      <c r="I16" s="10"/>
      <c r="K16" s="10" t="s">
        <v>56</v>
      </c>
      <c r="L16" s="10" t="s">
        <v>57</v>
      </c>
      <c r="M16" s="10"/>
      <c r="N16" s="10"/>
      <c r="O16" s="10">
        <v>8000</v>
      </c>
      <c r="P16" s="10"/>
      <c r="Q16" s="10"/>
    </row>
    <row r="17" spans="3:17" x14ac:dyDescent="0.3">
      <c r="C17" s="10" t="s">
        <v>63</v>
      </c>
      <c r="D17" s="10" t="s">
        <v>62</v>
      </c>
      <c r="E17" s="10"/>
      <c r="F17" s="10"/>
      <c r="G17" s="10">
        <v>20000</v>
      </c>
      <c r="H17" s="10"/>
      <c r="I17" s="10"/>
      <c r="K17" s="10" t="s">
        <v>58</v>
      </c>
      <c r="L17" s="10" t="s">
        <v>55</v>
      </c>
      <c r="M17" s="10"/>
      <c r="N17" s="10"/>
      <c r="O17" s="10">
        <v>8000</v>
      </c>
      <c r="P17" s="10"/>
      <c r="Q17" s="10"/>
    </row>
    <row r="18" spans="3:17" x14ac:dyDescent="0.3">
      <c r="C18" s="10" t="s">
        <v>64</v>
      </c>
      <c r="D18" s="10" t="s">
        <v>65</v>
      </c>
      <c r="E18" s="10"/>
      <c r="F18" s="10"/>
      <c r="G18" s="10">
        <v>2000</v>
      </c>
      <c r="H18" s="10"/>
      <c r="I18" s="10"/>
      <c r="K18" s="10" t="s">
        <v>59</v>
      </c>
      <c r="L18" s="10" t="s">
        <v>60</v>
      </c>
      <c r="M18" s="10"/>
      <c r="N18" s="10"/>
      <c r="O18" s="10">
        <v>1500</v>
      </c>
      <c r="P18" s="10"/>
      <c r="Q18" s="10"/>
    </row>
    <row r="19" spans="3:17" x14ac:dyDescent="0.3">
      <c r="C19" s="10" t="s">
        <v>66</v>
      </c>
      <c r="D19" s="10" t="s">
        <v>67</v>
      </c>
      <c r="E19" s="10"/>
      <c r="F19" s="10"/>
      <c r="G19" s="10">
        <v>3000</v>
      </c>
      <c r="H19" s="10"/>
      <c r="I19" s="10"/>
      <c r="K19" s="10" t="s">
        <v>61</v>
      </c>
      <c r="L19" s="10" t="s">
        <v>62</v>
      </c>
      <c r="M19" s="10">
        <v>5</v>
      </c>
      <c r="N19" s="10">
        <v>30000</v>
      </c>
      <c r="O19" s="10">
        <f>N19*M19</f>
        <v>150000</v>
      </c>
      <c r="P19" s="10"/>
      <c r="Q19" s="10"/>
    </row>
    <row r="20" spans="3:17" x14ac:dyDescent="0.3">
      <c r="C20" s="10" t="s">
        <v>68</v>
      </c>
      <c r="D20" s="10" t="s">
        <v>60</v>
      </c>
      <c r="E20" s="10"/>
      <c r="F20" s="10"/>
      <c r="G20" s="10">
        <v>1000</v>
      </c>
      <c r="H20" s="10"/>
      <c r="I20" s="10"/>
      <c r="K20" s="10" t="s">
        <v>63</v>
      </c>
      <c r="L20" s="10" t="s">
        <v>62</v>
      </c>
      <c r="M20" s="10"/>
      <c r="N20" s="10"/>
      <c r="O20" s="10">
        <v>20000</v>
      </c>
      <c r="P20" s="10"/>
      <c r="Q20" s="10"/>
    </row>
    <row r="21" spans="3:17" x14ac:dyDescent="0.3">
      <c r="C21" s="10" t="s">
        <v>69</v>
      </c>
      <c r="D21" s="10"/>
      <c r="E21" s="10"/>
      <c r="F21" s="10"/>
      <c r="G21" s="10">
        <v>40000</v>
      </c>
      <c r="H21" s="10"/>
      <c r="I21" s="10"/>
      <c r="K21" s="10" t="s">
        <v>64</v>
      </c>
      <c r="L21" s="10" t="s">
        <v>65</v>
      </c>
      <c r="M21" s="10"/>
      <c r="N21" s="10"/>
      <c r="O21" s="10">
        <v>3000</v>
      </c>
      <c r="P21" s="10"/>
      <c r="Q21" s="10"/>
    </row>
    <row r="22" spans="3:17" x14ac:dyDescent="0.3">
      <c r="C22" s="10" t="s">
        <v>38</v>
      </c>
      <c r="D22" s="10"/>
      <c r="E22" s="10"/>
      <c r="F22" s="10"/>
      <c r="G22" s="10">
        <f>SUM(G8:G21)</f>
        <v>7854500</v>
      </c>
      <c r="H22" s="10">
        <v>8750000</v>
      </c>
      <c r="I22" s="10">
        <f>H22-G22</f>
        <v>895500</v>
      </c>
      <c r="K22" s="10" t="s">
        <v>66</v>
      </c>
      <c r="L22" s="10" t="s">
        <v>67</v>
      </c>
      <c r="M22" s="10"/>
      <c r="N22" s="10"/>
      <c r="O22" s="10">
        <v>1000</v>
      </c>
      <c r="P22" s="10"/>
      <c r="Q22" s="10"/>
    </row>
    <row r="23" spans="3:17" x14ac:dyDescent="0.3">
      <c r="K23" s="10" t="s">
        <v>68</v>
      </c>
      <c r="L23" s="10" t="s">
        <v>60</v>
      </c>
      <c r="M23" s="10"/>
      <c r="N23" s="10"/>
      <c r="O23" s="10">
        <v>800</v>
      </c>
      <c r="P23" s="10"/>
      <c r="Q23" s="10"/>
    </row>
    <row r="24" spans="3:17" x14ac:dyDescent="0.3">
      <c r="H24" t="s">
        <v>71</v>
      </c>
      <c r="K24" s="10" t="s">
        <v>69</v>
      </c>
      <c r="L24" s="10"/>
      <c r="M24" s="10"/>
      <c r="N24" s="10"/>
      <c r="O24" s="10">
        <v>1170000</v>
      </c>
      <c r="P24" s="10"/>
      <c r="Q24" s="10"/>
    </row>
    <row r="25" spans="3:17" x14ac:dyDescent="0.3">
      <c r="C25" s="23" t="s">
        <v>77</v>
      </c>
      <c r="D25" s="23"/>
      <c r="E25" s="23"/>
      <c r="F25" s="23"/>
      <c r="G25" s="23"/>
      <c r="H25" s="23"/>
      <c r="I25" s="23"/>
      <c r="K25" s="10" t="s">
        <v>38</v>
      </c>
      <c r="L25" s="10"/>
      <c r="M25" s="10"/>
      <c r="N25" s="10"/>
      <c r="O25" s="10">
        <f>SUM(O11:O24)</f>
        <v>9998300</v>
      </c>
      <c r="P25" s="10">
        <v>9920000</v>
      </c>
      <c r="Q25" s="10">
        <f>P25-O25</f>
        <v>-78300</v>
      </c>
    </row>
    <row r="26" spans="3:17" x14ac:dyDescent="0.3">
      <c r="C26" s="24"/>
      <c r="D26" s="24"/>
      <c r="E26" s="24"/>
      <c r="F26" s="24"/>
      <c r="G26" s="24"/>
      <c r="H26" s="24"/>
      <c r="I26" s="24"/>
    </row>
    <row r="27" spans="3:17" x14ac:dyDescent="0.3">
      <c r="C27" s="25" t="s">
        <v>74</v>
      </c>
      <c r="D27" s="25"/>
      <c r="E27" s="25"/>
      <c r="F27" s="25"/>
      <c r="G27" s="25"/>
      <c r="H27" s="25"/>
      <c r="I27" s="25"/>
    </row>
    <row r="28" spans="3:17" x14ac:dyDescent="0.3">
      <c r="C28" s="17" t="s">
        <v>78</v>
      </c>
      <c r="D28" s="17" t="s">
        <v>79</v>
      </c>
      <c r="E28" s="17" t="s">
        <v>80</v>
      </c>
      <c r="F28" s="17" t="s">
        <v>81</v>
      </c>
      <c r="G28" s="17" t="s">
        <v>38</v>
      </c>
      <c r="H28" s="17" t="s">
        <v>86</v>
      </c>
      <c r="I28" s="17" t="s">
        <v>89</v>
      </c>
    </row>
    <row r="29" spans="3:17" x14ac:dyDescent="0.3">
      <c r="C29" s="10" t="s">
        <v>10</v>
      </c>
      <c r="D29" s="10" t="s">
        <v>4</v>
      </c>
      <c r="E29" s="10">
        <v>67</v>
      </c>
      <c r="F29" s="10">
        <v>60000</v>
      </c>
      <c r="G29" s="10">
        <f>F29*E29</f>
        <v>4020000</v>
      </c>
      <c r="H29" s="10"/>
      <c r="I29" s="10"/>
    </row>
    <row r="30" spans="3:17" x14ac:dyDescent="0.3">
      <c r="C30" s="10" t="s">
        <v>13</v>
      </c>
      <c r="D30" s="10" t="s">
        <v>4</v>
      </c>
      <c r="E30" s="10">
        <v>41</v>
      </c>
      <c r="F30" s="10">
        <v>45000</v>
      </c>
      <c r="G30" s="10">
        <f t="shared" ref="G30:G32" si="2">F30*E30</f>
        <v>1845000</v>
      </c>
      <c r="H30" s="10"/>
      <c r="I30" s="10"/>
    </row>
    <row r="31" spans="3:17" x14ac:dyDescent="0.3">
      <c r="C31" s="10" t="s">
        <v>53</v>
      </c>
      <c r="D31" s="10" t="s">
        <v>4</v>
      </c>
      <c r="E31" s="10">
        <v>56</v>
      </c>
      <c r="F31" s="10">
        <v>26000</v>
      </c>
      <c r="G31" s="10">
        <f t="shared" si="2"/>
        <v>1456000</v>
      </c>
      <c r="H31" s="10"/>
      <c r="I31" s="10"/>
    </row>
    <row r="32" spans="3:17" x14ac:dyDescent="0.3">
      <c r="C32" s="10" t="s">
        <v>16</v>
      </c>
      <c r="D32" s="10" t="s">
        <v>4</v>
      </c>
      <c r="E32" s="10">
        <v>48</v>
      </c>
      <c r="F32" s="10">
        <v>17000</v>
      </c>
      <c r="G32" s="10">
        <f t="shared" si="2"/>
        <v>816000</v>
      </c>
      <c r="H32" s="10"/>
      <c r="I32" s="10" t="s">
        <v>71</v>
      </c>
    </row>
    <row r="33" spans="3:9" x14ac:dyDescent="0.3">
      <c r="C33" s="10" t="s">
        <v>54</v>
      </c>
      <c r="D33" s="10" t="s">
        <v>55</v>
      </c>
      <c r="E33" s="10"/>
      <c r="F33" s="10"/>
      <c r="G33" s="10">
        <v>13000</v>
      </c>
      <c r="H33" s="10"/>
      <c r="I33" s="10"/>
    </row>
    <row r="34" spans="3:9" x14ac:dyDescent="0.3">
      <c r="C34" s="10" t="s">
        <v>56</v>
      </c>
      <c r="D34" s="10" t="s">
        <v>57</v>
      </c>
      <c r="E34" s="10"/>
      <c r="F34" s="10"/>
      <c r="G34" s="10">
        <v>2000</v>
      </c>
      <c r="H34" s="10"/>
      <c r="I34" s="10"/>
    </row>
    <row r="35" spans="3:9" x14ac:dyDescent="0.3">
      <c r="C35" s="10" t="s">
        <v>58</v>
      </c>
      <c r="D35" s="10" t="s">
        <v>55</v>
      </c>
      <c r="E35" s="10"/>
      <c r="F35" s="10"/>
      <c r="G35" s="10">
        <v>8000</v>
      </c>
      <c r="H35" s="10"/>
      <c r="I35" s="10"/>
    </row>
    <row r="36" spans="3:9" x14ac:dyDescent="0.3">
      <c r="C36" s="10" t="s">
        <v>59</v>
      </c>
      <c r="D36" s="10" t="s">
        <v>60</v>
      </c>
      <c r="E36" s="10"/>
      <c r="F36" s="10"/>
      <c r="G36" s="10">
        <v>1500</v>
      </c>
      <c r="H36" s="10"/>
      <c r="I36" s="10"/>
    </row>
    <row r="37" spans="3:9" x14ac:dyDescent="0.3">
      <c r="C37" s="10" t="s">
        <v>61</v>
      </c>
      <c r="D37" s="10" t="s">
        <v>62</v>
      </c>
      <c r="E37" s="10">
        <v>5</v>
      </c>
      <c r="F37" s="10">
        <v>30000</v>
      </c>
      <c r="G37" s="10">
        <f>F37*E37</f>
        <v>150000</v>
      </c>
      <c r="H37" s="10"/>
      <c r="I37" s="10"/>
    </row>
    <row r="38" spans="3:9" x14ac:dyDescent="0.3">
      <c r="C38" s="10" t="s">
        <v>63</v>
      </c>
      <c r="D38" s="10" t="s">
        <v>62</v>
      </c>
      <c r="E38" s="10"/>
      <c r="F38" s="10"/>
      <c r="G38" s="10">
        <v>20000</v>
      </c>
      <c r="H38" s="10"/>
      <c r="I38" s="10"/>
    </row>
    <row r="39" spans="3:9" x14ac:dyDescent="0.3">
      <c r="C39" s="10" t="s">
        <v>64</v>
      </c>
      <c r="D39" s="10" t="s">
        <v>65</v>
      </c>
      <c r="E39" s="10"/>
      <c r="F39" s="10"/>
      <c r="G39" s="10">
        <v>2000</v>
      </c>
      <c r="H39" s="10"/>
      <c r="I39" s="10"/>
    </row>
    <row r="40" spans="3:9" x14ac:dyDescent="0.3">
      <c r="C40" s="10" t="s">
        <v>66</v>
      </c>
      <c r="D40" s="10" t="s">
        <v>67</v>
      </c>
      <c r="E40" s="10"/>
      <c r="F40" s="10"/>
      <c r="G40" s="10">
        <v>7000</v>
      </c>
      <c r="H40" s="10"/>
      <c r="I40" s="10"/>
    </row>
    <row r="41" spans="3:9" x14ac:dyDescent="0.3">
      <c r="C41" s="10" t="s">
        <v>68</v>
      </c>
      <c r="D41" s="10" t="s">
        <v>60</v>
      </c>
      <c r="E41" s="10"/>
      <c r="F41" s="10"/>
      <c r="G41" s="10">
        <v>1200</v>
      </c>
      <c r="H41" s="10"/>
      <c r="I41" s="10"/>
    </row>
    <row r="42" spans="3:9" x14ac:dyDescent="0.3">
      <c r="C42" s="10" t="s">
        <v>69</v>
      </c>
      <c r="D42" s="10"/>
      <c r="E42" s="10"/>
      <c r="F42" s="10"/>
      <c r="G42" s="10">
        <v>110000</v>
      </c>
      <c r="H42" s="10"/>
      <c r="I42" s="10"/>
    </row>
    <row r="43" spans="3:9" x14ac:dyDescent="0.3">
      <c r="C43" s="10" t="s">
        <v>38</v>
      </c>
      <c r="D43" s="10"/>
      <c r="E43" s="10"/>
      <c r="F43" s="10"/>
      <c r="G43" s="10">
        <f>SUM(G29:G42)</f>
        <v>8451700</v>
      </c>
      <c r="H43" s="10">
        <v>10000000</v>
      </c>
      <c r="I43" s="10">
        <f>H43-G43</f>
        <v>1548300</v>
      </c>
    </row>
  </sheetData>
  <mergeCells count="9">
    <mergeCell ref="K7:Q7"/>
    <mergeCell ref="K8:Q8"/>
    <mergeCell ref="K9:Q9"/>
    <mergeCell ref="C25:I25"/>
    <mergeCell ref="C26:I26"/>
    <mergeCell ref="C27:I27"/>
    <mergeCell ref="C4:I4"/>
    <mergeCell ref="C5:I5"/>
    <mergeCell ref="C6:I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D635-6252-4445-8B62-C7E94FB2A6CF}">
  <dimension ref="D3:R28"/>
  <sheetViews>
    <sheetView topLeftCell="A4" workbookViewId="0">
      <selection activeCell="B6" sqref="B6"/>
    </sheetView>
  </sheetViews>
  <sheetFormatPr defaultRowHeight="14.4" x14ac:dyDescent="0.3"/>
  <sheetData>
    <row r="3" spans="4:18" x14ac:dyDescent="0.3">
      <c r="D3" s="23" t="s">
        <v>77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4:18" x14ac:dyDescent="0.3"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4:18" x14ac:dyDescent="0.3">
      <c r="D5" s="25" t="s">
        <v>72</v>
      </c>
      <c r="E5" s="25"/>
      <c r="F5" s="25"/>
      <c r="G5" s="25"/>
      <c r="H5" s="25"/>
      <c r="I5" s="25" t="s">
        <v>73</v>
      </c>
      <c r="J5" s="25"/>
      <c r="K5" s="25"/>
      <c r="L5" s="25"/>
      <c r="M5" s="25"/>
      <c r="N5" s="25" t="s">
        <v>74</v>
      </c>
      <c r="O5" s="25"/>
      <c r="P5" s="25"/>
      <c r="Q5" s="25"/>
      <c r="R5" s="25"/>
    </row>
    <row r="6" spans="4:18" x14ac:dyDescent="0.3">
      <c r="D6" s="17" t="s">
        <v>78</v>
      </c>
      <c r="E6" s="17" t="s">
        <v>79</v>
      </c>
      <c r="F6" s="17" t="s">
        <v>80</v>
      </c>
      <c r="G6" s="17" t="s">
        <v>81</v>
      </c>
      <c r="H6" s="17" t="s">
        <v>38</v>
      </c>
      <c r="I6" s="17" t="s">
        <v>78</v>
      </c>
      <c r="J6" s="17" t="s">
        <v>79</v>
      </c>
      <c r="K6" s="17" t="s">
        <v>80</v>
      </c>
      <c r="L6" s="17" t="s">
        <v>81</v>
      </c>
      <c r="M6" s="17" t="s">
        <v>38</v>
      </c>
      <c r="N6" s="17" t="s">
        <v>78</v>
      </c>
      <c r="O6" s="17" t="s">
        <v>79</v>
      </c>
      <c r="P6" s="17" t="s">
        <v>80</v>
      </c>
      <c r="Q6" s="17" t="s">
        <v>81</v>
      </c>
      <c r="R6" s="17" t="s">
        <v>38</v>
      </c>
    </row>
    <row r="7" spans="4:18" x14ac:dyDescent="0.3">
      <c r="D7" s="10" t="s">
        <v>10</v>
      </c>
      <c r="E7" s="10" t="s">
        <v>4</v>
      </c>
      <c r="F7" s="10">
        <v>53</v>
      </c>
      <c r="G7" s="10">
        <v>60000</v>
      </c>
      <c r="H7" s="10">
        <f>G7*F7</f>
        <v>3180000</v>
      </c>
      <c r="I7" s="10" t="s">
        <v>10</v>
      </c>
      <c r="J7" s="10" t="s">
        <v>4</v>
      </c>
      <c r="K7" s="10">
        <v>55</v>
      </c>
      <c r="L7" s="10">
        <v>60000</v>
      </c>
      <c r="M7" s="10">
        <f>L7*K7</f>
        <v>3300000</v>
      </c>
      <c r="N7" s="10" t="s">
        <v>10</v>
      </c>
      <c r="O7" s="10" t="s">
        <v>4</v>
      </c>
      <c r="P7" s="10">
        <v>67</v>
      </c>
      <c r="Q7" s="10">
        <v>60000</v>
      </c>
      <c r="R7" s="10">
        <f>Q7*P7</f>
        <v>4020000</v>
      </c>
    </row>
    <row r="8" spans="4:18" x14ac:dyDescent="0.3">
      <c r="D8" s="10" t="s">
        <v>13</v>
      </c>
      <c r="E8" s="10" t="s">
        <v>4</v>
      </c>
      <c r="F8" s="10">
        <v>48</v>
      </c>
      <c r="G8" s="10">
        <v>45000</v>
      </c>
      <c r="H8" s="10">
        <f t="shared" ref="H8:H10" si="0">G8*F8</f>
        <v>2160000</v>
      </c>
      <c r="I8" s="10" t="s">
        <v>13</v>
      </c>
      <c r="J8" s="10" t="s">
        <v>4</v>
      </c>
      <c r="K8" s="10">
        <v>50</v>
      </c>
      <c r="L8" s="10">
        <v>45000</v>
      </c>
      <c r="M8" s="10">
        <f t="shared" ref="M8:M10" si="1">L8*K8</f>
        <v>2250000</v>
      </c>
      <c r="N8" s="10" t="s">
        <v>13</v>
      </c>
      <c r="O8" s="10" t="s">
        <v>4</v>
      </c>
      <c r="P8" s="10">
        <v>41</v>
      </c>
      <c r="Q8" s="10">
        <v>45000</v>
      </c>
      <c r="R8" s="10">
        <f t="shared" ref="R8:R10" si="2">Q8*P8</f>
        <v>1845000</v>
      </c>
    </row>
    <row r="9" spans="4:18" x14ac:dyDescent="0.3">
      <c r="D9" s="10" t="s">
        <v>53</v>
      </c>
      <c r="E9" s="10" t="s">
        <v>4</v>
      </c>
      <c r="F9" s="10">
        <v>56</v>
      </c>
      <c r="G9" s="10">
        <v>26000</v>
      </c>
      <c r="H9" s="10">
        <f t="shared" si="0"/>
        <v>1456000</v>
      </c>
      <c r="I9" s="10" t="s">
        <v>53</v>
      </c>
      <c r="J9" s="10" t="s">
        <v>4</v>
      </c>
      <c r="K9" s="10">
        <v>79</v>
      </c>
      <c r="L9" s="10">
        <v>26000</v>
      </c>
      <c r="M9" s="10">
        <f t="shared" si="1"/>
        <v>2054000</v>
      </c>
      <c r="N9" s="10" t="s">
        <v>53</v>
      </c>
      <c r="O9" s="10" t="s">
        <v>4</v>
      </c>
      <c r="P9" s="10">
        <v>56</v>
      </c>
      <c r="Q9" s="10">
        <v>26000</v>
      </c>
      <c r="R9" s="10">
        <f t="shared" si="2"/>
        <v>1456000</v>
      </c>
    </row>
    <row r="10" spans="4:18" x14ac:dyDescent="0.3">
      <c r="D10" s="10" t="s">
        <v>16</v>
      </c>
      <c r="E10" s="10" t="s">
        <v>4</v>
      </c>
      <c r="F10" s="10">
        <v>48</v>
      </c>
      <c r="G10" s="10">
        <v>17000</v>
      </c>
      <c r="H10" s="10">
        <f t="shared" si="0"/>
        <v>816000</v>
      </c>
      <c r="I10" s="10" t="s">
        <v>16</v>
      </c>
      <c r="J10" s="10" t="s">
        <v>4</v>
      </c>
      <c r="K10" s="10">
        <v>60</v>
      </c>
      <c r="L10" s="10">
        <v>17000</v>
      </c>
      <c r="M10" s="10">
        <f t="shared" si="1"/>
        <v>1020000</v>
      </c>
      <c r="N10" s="10" t="s">
        <v>16</v>
      </c>
      <c r="O10" s="10" t="s">
        <v>4</v>
      </c>
      <c r="P10" s="10">
        <v>48</v>
      </c>
      <c r="Q10" s="10">
        <v>17000</v>
      </c>
      <c r="R10" s="10">
        <f t="shared" si="2"/>
        <v>816000</v>
      </c>
    </row>
    <row r="11" spans="4:18" x14ac:dyDescent="0.3">
      <c r="D11" s="10" t="s">
        <v>54</v>
      </c>
      <c r="E11" s="10" t="s">
        <v>55</v>
      </c>
      <c r="F11" s="10"/>
      <c r="G11" s="10"/>
      <c r="H11" s="10">
        <v>12000</v>
      </c>
      <c r="I11" s="10" t="s">
        <v>54</v>
      </c>
      <c r="J11" s="10" t="s">
        <v>55</v>
      </c>
      <c r="K11" s="10"/>
      <c r="L11" s="10"/>
      <c r="M11" s="10">
        <v>12000</v>
      </c>
      <c r="N11" s="10" t="s">
        <v>54</v>
      </c>
      <c r="O11" s="10" t="s">
        <v>55</v>
      </c>
      <c r="P11" s="10"/>
      <c r="Q11" s="10"/>
      <c r="R11" s="10">
        <v>13000</v>
      </c>
    </row>
    <row r="12" spans="4:18" x14ac:dyDescent="0.3">
      <c r="D12" s="10" t="s">
        <v>56</v>
      </c>
      <c r="E12" s="10" t="s">
        <v>57</v>
      </c>
      <c r="F12" s="10"/>
      <c r="G12" s="10"/>
      <c r="H12" s="10">
        <v>5000</v>
      </c>
      <c r="I12" s="10" t="s">
        <v>56</v>
      </c>
      <c r="J12" s="10" t="s">
        <v>57</v>
      </c>
      <c r="K12" s="10"/>
      <c r="L12" s="10"/>
      <c r="M12" s="10">
        <v>8000</v>
      </c>
      <c r="N12" s="10" t="s">
        <v>56</v>
      </c>
      <c r="O12" s="10" t="s">
        <v>57</v>
      </c>
      <c r="P12" s="10"/>
      <c r="Q12" s="10"/>
      <c r="R12" s="10">
        <v>2000</v>
      </c>
    </row>
    <row r="13" spans="4:18" x14ac:dyDescent="0.3">
      <c r="D13" s="10" t="s">
        <v>58</v>
      </c>
      <c r="E13" s="10" t="s">
        <v>55</v>
      </c>
      <c r="F13" s="10"/>
      <c r="G13" s="10"/>
      <c r="H13" s="10">
        <v>8000</v>
      </c>
      <c r="I13" s="10" t="s">
        <v>58</v>
      </c>
      <c r="J13" s="10" t="s">
        <v>55</v>
      </c>
      <c r="K13" s="10"/>
      <c r="L13" s="10"/>
      <c r="M13" s="10">
        <v>8000</v>
      </c>
      <c r="N13" s="10" t="s">
        <v>58</v>
      </c>
      <c r="O13" s="10" t="s">
        <v>55</v>
      </c>
      <c r="P13" s="10"/>
      <c r="Q13" s="10"/>
      <c r="R13" s="10">
        <v>8000</v>
      </c>
    </row>
    <row r="14" spans="4:18" x14ac:dyDescent="0.3">
      <c r="D14" s="10" t="s">
        <v>59</v>
      </c>
      <c r="E14" s="10" t="s">
        <v>60</v>
      </c>
      <c r="F14" s="10"/>
      <c r="G14" s="10"/>
      <c r="H14" s="10">
        <v>1500</v>
      </c>
      <c r="I14" s="10" t="s">
        <v>59</v>
      </c>
      <c r="J14" s="10" t="s">
        <v>60</v>
      </c>
      <c r="K14" s="10"/>
      <c r="L14" s="10"/>
      <c r="M14" s="10">
        <v>1500</v>
      </c>
      <c r="N14" s="10" t="s">
        <v>59</v>
      </c>
      <c r="O14" s="10" t="s">
        <v>60</v>
      </c>
      <c r="P14" s="10"/>
      <c r="Q14" s="10"/>
      <c r="R14" s="10">
        <v>1500</v>
      </c>
    </row>
    <row r="15" spans="4:18" x14ac:dyDescent="0.3">
      <c r="D15" s="10" t="s">
        <v>61</v>
      </c>
      <c r="E15" s="10" t="s">
        <v>62</v>
      </c>
      <c r="F15" s="10">
        <v>5</v>
      </c>
      <c r="G15" s="10">
        <v>30000</v>
      </c>
      <c r="H15" s="10">
        <f>G15*F15</f>
        <v>150000</v>
      </c>
      <c r="I15" s="10" t="s">
        <v>61</v>
      </c>
      <c r="J15" s="10" t="s">
        <v>62</v>
      </c>
      <c r="K15" s="10">
        <v>5</v>
      </c>
      <c r="L15" s="10">
        <v>30000</v>
      </c>
      <c r="M15" s="10">
        <f>L15*K15</f>
        <v>150000</v>
      </c>
      <c r="N15" s="10" t="s">
        <v>61</v>
      </c>
      <c r="O15" s="10" t="s">
        <v>62</v>
      </c>
      <c r="P15" s="10">
        <v>5</v>
      </c>
      <c r="Q15" s="10">
        <v>30000</v>
      </c>
      <c r="R15" s="10">
        <f>Q15*P15</f>
        <v>150000</v>
      </c>
    </row>
    <row r="16" spans="4:18" x14ac:dyDescent="0.3">
      <c r="D16" s="10" t="s">
        <v>63</v>
      </c>
      <c r="E16" s="10" t="s">
        <v>62</v>
      </c>
      <c r="F16" s="10"/>
      <c r="G16" s="10"/>
      <c r="H16" s="10">
        <v>20000</v>
      </c>
      <c r="I16" s="10" t="s">
        <v>63</v>
      </c>
      <c r="J16" s="10" t="s">
        <v>62</v>
      </c>
      <c r="K16" s="10"/>
      <c r="L16" s="10"/>
      <c r="M16" s="10">
        <v>20000</v>
      </c>
      <c r="N16" s="10" t="s">
        <v>63</v>
      </c>
      <c r="O16" s="10" t="s">
        <v>62</v>
      </c>
      <c r="P16" s="10"/>
      <c r="Q16" s="10"/>
      <c r="R16" s="10">
        <v>20000</v>
      </c>
    </row>
    <row r="17" spans="4:18" x14ac:dyDescent="0.3">
      <c r="D17" s="10" t="s">
        <v>64</v>
      </c>
      <c r="E17" s="10" t="s">
        <v>65</v>
      </c>
      <c r="F17" s="10"/>
      <c r="G17" s="10"/>
      <c r="H17" s="10">
        <v>2000</v>
      </c>
      <c r="I17" s="10" t="s">
        <v>64</v>
      </c>
      <c r="J17" s="10" t="s">
        <v>65</v>
      </c>
      <c r="K17" s="10"/>
      <c r="L17" s="10"/>
      <c r="M17" s="10">
        <v>3000</v>
      </c>
      <c r="N17" s="10" t="s">
        <v>64</v>
      </c>
      <c r="O17" s="10" t="s">
        <v>65</v>
      </c>
      <c r="P17" s="10"/>
      <c r="Q17" s="10"/>
      <c r="R17" s="10">
        <v>2000</v>
      </c>
    </row>
    <row r="18" spans="4:18" x14ac:dyDescent="0.3">
      <c r="D18" s="10" t="s">
        <v>66</v>
      </c>
      <c r="E18" s="10" t="s">
        <v>67</v>
      </c>
      <c r="F18" s="10"/>
      <c r="G18" s="10"/>
      <c r="H18" s="10">
        <v>3000</v>
      </c>
      <c r="I18" s="10" t="s">
        <v>66</v>
      </c>
      <c r="J18" s="10" t="s">
        <v>67</v>
      </c>
      <c r="K18" s="10"/>
      <c r="L18" s="10"/>
      <c r="M18" s="10">
        <v>1000</v>
      </c>
      <c r="N18" s="10" t="s">
        <v>66</v>
      </c>
      <c r="O18" s="10" t="s">
        <v>67</v>
      </c>
      <c r="P18" s="10"/>
      <c r="Q18" s="10"/>
      <c r="R18" s="10">
        <v>7000</v>
      </c>
    </row>
    <row r="19" spans="4:18" x14ac:dyDescent="0.3">
      <c r="D19" s="10" t="s">
        <v>68</v>
      </c>
      <c r="E19" s="10" t="s">
        <v>60</v>
      </c>
      <c r="F19" s="10"/>
      <c r="G19" s="10"/>
      <c r="H19" s="10">
        <v>1000</v>
      </c>
      <c r="I19" s="10" t="s">
        <v>68</v>
      </c>
      <c r="J19" s="10" t="s">
        <v>60</v>
      </c>
      <c r="K19" s="10"/>
      <c r="L19" s="10"/>
      <c r="M19" s="10">
        <v>800</v>
      </c>
      <c r="N19" s="10" t="s">
        <v>68</v>
      </c>
      <c r="O19" s="10" t="s">
        <v>60</v>
      </c>
      <c r="P19" s="10"/>
      <c r="Q19" s="10"/>
      <c r="R19" s="10">
        <v>1200</v>
      </c>
    </row>
    <row r="20" spans="4:18" x14ac:dyDescent="0.3">
      <c r="D20" s="10" t="s">
        <v>69</v>
      </c>
      <c r="E20" s="10" t="s">
        <v>69</v>
      </c>
      <c r="F20" s="10"/>
      <c r="G20" s="10"/>
      <c r="H20" s="10">
        <v>40000</v>
      </c>
      <c r="I20" s="10" t="s">
        <v>69</v>
      </c>
      <c r="J20" s="10"/>
      <c r="K20" s="10"/>
      <c r="L20" s="10"/>
      <c r="M20" s="10">
        <v>1170000</v>
      </c>
      <c r="N20" s="10" t="s">
        <v>69</v>
      </c>
      <c r="O20" s="10"/>
      <c r="P20" s="10"/>
      <c r="Q20" s="10"/>
      <c r="R20" s="10">
        <v>110000</v>
      </c>
    </row>
    <row r="21" spans="4:18" x14ac:dyDescent="0.3">
      <c r="D21" s="13" t="s">
        <v>38</v>
      </c>
      <c r="E21" s="14"/>
      <c r="F21" s="15">
        <f>SUM(F7:F15)</f>
        <v>210</v>
      </c>
      <c r="G21" s="15"/>
      <c r="H21" s="15">
        <f>SUM(H7:H20)</f>
        <v>7854500</v>
      </c>
      <c r="I21" s="15"/>
      <c r="J21" s="15"/>
      <c r="K21" s="15">
        <f>SUM(K7:K20)</f>
        <v>249</v>
      </c>
      <c r="L21" s="15"/>
      <c r="M21" s="15">
        <f>SUM(M7:M20)</f>
        <v>9998300</v>
      </c>
      <c r="N21" s="15"/>
      <c r="O21" s="15"/>
      <c r="P21" s="15">
        <f>SUM(P7:P20)</f>
        <v>217</v>
      </c>
      <c r="Q21" s="15"/>
      <c r="R21" s="16">
        <f>SUM(R7:R20)</f>
        <v>8451700</v>
      </c>
    </row>
    <row r="22" spans="4:18" x14ac:dyDescent="0.3">
      <c r="D22" s="10"/>
      <c r="E22" s="10" t="s">
        <v>70</v>
      </c>
      <c r="G22" t="s">
        <v>71</v>
      </c>
    </row>
    <row r="23" spans="4:18" x14ac:dyDescent="0.3">
      <c r="D23" s="10" t="s">
        <v>72</v>
      </c>
      <c r="E23" s="10">
        <f>SUM(F7:F10)</f>
        <v>205</v>
      </c>
    </row>
    <row r="24" spans="4:18" x14ac:dyDescent="0.3">
      <c r="D24" s="10" t="s">
        <v>73</v>
      </c>
      <c r="E24" s="10">
        <f>SUM(K7:K10)</f>
        <v>244</v>
      </c>
    </row>
    <row r="25" spans="4:18" x14ac:dyDescent="0.3">
      <c r="D25" s="10" t="s">
        <v>74</v>
      </c>
      <c r="E25" s="10">
        <f>SUM(P7:P10)</f>
        <v>212</v>
      </c>
    </row>
    <row r="26" spans="4:18" x14ac:dyDescent="0.3">
      <c r="D26" s="10" t="s">
        <v>75</v>
      </c>
      <c r="E26" s="10">
        <f>SUM(E23:E25)</f>
        <v>661</v>
      </c>
    </row>
    <row r="27" spans="4:18" x14ac:dyDescent="0.3">
      <c r="D27" s="10" t="s">
        <v>76</v>
      </c>
      <c r="E27" s="10">
        <f>MIN(E23:E26)</f>
        <v>205</v>
      </c>
    </row>
    <row r="28" spans="4:18" x14ac:dyDescent="0.3">
      <c r="D28" s="10"/>
      <c r="E28" s="10" t="s">
        <v>71</v>
      </c>
    </row>
  </sheetData>
  <mergeCells count="4">
    <mergeCell ref="D3:R4"/>
    <mergeCell ref="D5:H5"/>
    <mergeCell ref="I5:M5"/>
    <mergeCell ref="N5:R5"/>
  </mergeCells>
  <conditionalFormatting sqref="D23:D25">
    <cfRule type="containsText" dxfId="1" priority="1" operator="containsText" text="January">
      <formula>NOT(ISERROR(SEARCH("January",D23)))</formula>
    </cfRule>
  </conditionalFormatting>
  <conditionalFormatting sqref="E27">
    <cfRule type="top10" dxfId="0" priority="2" rank="10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AEC2-D03F-4F5C-BB05-D94E279B9B43}">
  <dimension ref="A1:E16"/>
  <sheetViews>
    <sheetView tabSelected="1" topLeftCell="A10" workbookViewId="0">
      <selection activeCell="P18" sqref="P18"/>
    </sheetView>
  </sheetViews>
  <sheetFormatPr defaultRowHeight="14.4" x14ac:dyDescent="0.3"/>
  <sheetData>
    <row r="1" spans="1:5" x14ac:dyDescent="0.3">
      <c r="A1" t="s">
        <v>90</v>
      </c>
    </row>
    <row r="3" spans="1:5" x14ac:dyDescent="0.3">
      <c r="B3" s="26" t="s">
        <v>91</v>
      </c>
      <c r="C3" s="26"/>
      <c r="D3" s="26"/>
      <c r="E3" s="26"/>
    </row>
    <row r="4" spans="1:5" x14ac:dyDescent="0.3">
      <c r="B4" s="19" t="s">
        <v>84</v>
      </c>
      <c r="C4" s="19" t="s">
        <v>85</v>
      </c>
      <c r="D4" s="19" t="s">
        <v>86</v>
      </c>
      <c r="E4" s="19" t="s">
        <v>92</v>
      </c>
    </row>
    <row r="5" spans="1:5" x14ac:dyDescent="0.3">
      <c r="B5" s="10" t="s">
        <v>72</v>
      </c>
      <c r="C5" s="10">
        <v>9288500</v>
      </c>
      <c r="D5" s="10">
        <v>8750000</v>
      </c>
      <c r="E5" s="10">
        <v>-538500</v>
      </c>
    </row>
    <row r="6" spans="1:5" x14ac:dyDescent="0.3">
      <c r="B6" s="10" t="s">
        <v>73</v>
      </c>
      <c r="C6" s="10">
        <v>9744300</v>
      </c>
      <c r="D6" s="10">
        <v>9920000</v>
      </c>
      <c r="E6" s="10">
        <v>175700</v>
      </c>
    </row>
    <row r="7" spans="1:5" x14ac:dyDescent="0.3">
      <c r="B7" s="10" t="s">
        <v>74</v>
      </c>
      <c r="C7" s="10">
        <v>8904700</v>
      </c>
      <c r="D7" s="10">
        <v>10000000</v>
      </c>
      <c r="E7" s="10">
        <v>1095300</v>
      </c>
    </row>
    <row r="8" spans="1:5" x14ac:dyDescent="0.3">
      <c r="B8" s="10" t="s">
        <v>93</v>
      </c>
      <c r="C8" s="10">
        <v>7345200</v>
      </c>
      <c r="D8" s="10">
        <v>7957400</v>
      </c>
      <c r="E8" s="10">
        <v>612200</v>
      </c>
    </row>
    <row r="9" spans="1:5" x14ac:dyDescent="0.3">
      <c r="B9" s="10" t="s">
        <v>94</v>
      </c>
      <c r="C9" s="10">
        <v>8987000</v>
      </c>
      <c r="D9" s="10">
        <v>9876500</v>
      </c>
      <c r="E9" s="10">
        <v>889500</v>
      </c>
    </row>
    <row r="10" spans="1:5" x14ac:dyDescent="0.3">
      <c r="B10" s="10" t="s">
        <v>95</v>
      </c>
      <c r="C10" s="10">
        <v>5215400</v>
      </c>
      <c r="D10" s="10">
        <v>5164500</v>
      </c>
      <c r="E10" s="10">
        <v>-50900</v>
      </c>
    </row>
    <row r="11" spans="1:5" x14ac:dyDescent="0.3">
      <c r="B11" s="10" t="s">
        <v>96</v>
      </c>
      <c r="C11" s="10">
        <v>9976500</v>
      </c>
      <c r="D11" s="10">
        <v>11543600</v>
      </c>
      <c r="E11" s="10">
        <v>1567100</v>
      </c>
    </row>
    <row r="12" spans="1:5" x14ac:dyDescent="0.3">
      <c r="B12" s="10" t="s">
        <v>97</v>
      </c>
      <c r="C12" s="10">
        <v>7976700</v>
      </c>
      <c r="D12" s="10">
        <v>8087900</v>
      </c>
      <c r="E12" s="10">
        <v>111200</v>
      </c>
    </row>
    <row r="13" spans="1:5" x14ac:dyDescent="0.3">
      <c r="B13" s="10" t="s">
        <v>98</v>
      </c>
      <c r="C13" s="10">
        <v>9879000</v>
      </c>
      <c r="D13" s="10">
        <v>9969800</v>
      </c>
      <c r="E13" s="10">
        <v>90800</v>
      </c>
    </row>
    <row r="14" spans="1:5" x14ac:dyDescent="0.3">
      <c r="B14" s="10" t="s">
        <v>99</v>
      </c>
      <c r="C14" s="10">
        <v>6234800</v>
      </c>
      <c r="D14" s="10">
        <v>7024000</v>
      </c>
      <c r="E14" s="10">
        <v>789200</v>
      </c>
    </row>
    <row r="15" spans="1:5" x14ac:dyDescent="0.3">
      <c r="B15" s="10" t="s">
        <v>100</v>
      </c>
      <c r="C15" s="10">
        <v>4534800</v>
      </c>
      <c r="D15" s="10">
        <v>4809300</v>
      </c>
      <c r="E15" s="10">
        <v>274500</v>
      </c>
    </row>
    <row r="16" spans="1:5" x14ac:dyDescent="0.3">
      <c r="B16" s="10" t="s">
        <v>101</v>
      </c>
      <c r="C16" s="10">
        <v>8348700</v>
      </c>
      <c r="D16" s="10">
        <v>8834800</v>
      </c>
      <c r="E16" s="10">
        <v>486100</v>
      </c>
    </row>
  </sheetData>
  <mergeCells count="1">
    <mergeCell ref="B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1(a)</vt:lpstr>
      <vt:lpstr>1(b)</vt:lpstr>
      <vt:lpstr>1(c)</vt:lpstr>
      <vt:lpstr>1(d)</vt:lpstr>
      <vt:lpstr>1(e)</vt:lpstr>
      <vt:lpstr>2(a)</vt:lpstr>
      <vt:lpstr>2(b)</vt:lpstr>
      <vt:lpstr>2(c)</vt:lpstr>
      <vt:lpstr>2(d)</vt:lpstr>
      <vt:lpstr>3(a)</vt:lpstr>
      <vt:lpstr>3(b)</vt:lpstr>
      <vt:lpstr>3(c)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 Al-amin Islam</dc:creator>
  <cp:lastModifiedBy>CSEian</cp:lastModifiedBy>
  <dcterms:created xsi:type="dcterms:W3CDTF">2024-05-29T21:50:26Z</dcterms:created>
  <dcterms:modified xsi:type="dcterms:W3CDTF">2025-02-04T11:25:47Z</dcterms:modified>
</cp:coreProperties>
</file>